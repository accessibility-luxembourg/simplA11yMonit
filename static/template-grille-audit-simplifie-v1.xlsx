
<file path=[Content_Types].xml><?xml version="1.0" encoding="utf-8"?>
<Types xmlns="http://schemas.openxmlformats.org/package/2006/content-types">
  <Default Extension="bin" ContentType="application/vnd.openxmlformats-officedocument.oleObject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ifi774\Projects\simplA11yMonit\static\"/>
    </mc:Choice>
  </mc:AlternateContent>
  <xr:revisionPtr revIDLastSave="0" documentId="13_ncr:1_{3055246F-9C8A-4510-9943-D777CC83BA92}" xr6:coauthVersionLast="47" xr6:coauthVersionMax="47" xr10:uidLastSave="{00000000-0000-0000-0000-000000000000}"/>
  <bookViews>
    <workbookView xWindow="28680" yWindow="-120" windowWidth="29040" windowHeight="15720" firstSheet="1" activeTab="3" xr2:uid="{091586B1-AD82-4EC5-8ABD-408E12CDFE42}"/>
  </bookViews>
  <sheets>
    <sheet name="BaseDeCalcul" sheetId="2" state="hidden" r:id="rId1"/>
    <sheet name="Synthèse" sheetId="5" r:id="rId2"/>
    <sheet name="Échelle" sheetId="6" state="hidden" r:id="rId3"/>
    <sheet name="Échantillon" sheetId="11" r:id="rId4"/>
    <sheet name="P01" sheetId="17" r:id="rId5"/>
    <sheet name="P02" sheetId="18" r:id="rId6"/>
    <sheet name="P03" sheetId="19" r:id="rId7"/>
    <sheet name="NC" sheetId="20" r:id="rId8"/>
  </sheets>
  <definedNames>
    <definedName name="_xlnm._FilterDatabase" localSheetId="7" hidden="1">NC!$A$1:$E$1</definedName>
    <definedName name="_xlnm._FilterDatabase" localSheetId="4" hidden="1">'P01'!$A$1:$K$1</definedName>
    <definedName name="_xlnm._FilterDatabase" localSheetId="5" hidden="1">'P02'!$A$1:$K$1</definedName>
    <definedName name="_xlnm._FilterDatabase" localSheetId="6" hidden="1">'P03'!$A$1:$K$1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5" i="17" l="1"/>
  <c r="J25" i="17"/>
  <c r="K25" i="17"/>
  <c r="I25" i="18"/>
  <c r="J25" i="18"/>
  <c r="K25" i="18"/>
  <c r="K25" i="19"/>
  <c r="J25" i="19"/>
  <c r="I25" i="19"/>
  <c r="E3" i="2"/>
  <c r="H47" i="17" l="1"/>
  <c r="I47" i="17"/>
  <c r="J47" i="17"/>
  <c r="H48" i="17"/>
  <c r="I48" i="17"/>
  <c r="J48" i="17"/>
  <c r="H49" i="17"/>
  <c r="I49" i="17"/>
  <c r="J49" i="17"/>
  <c r="H50" i="17"/>
  <c r="I50" i="17"/>
  <c r="J50" i="17"/>
  <c r="H51" i="17"/>
  <c r="I51" i="17"/>
  <c r="J51" i="17"/>
  <c r="H52" i="17"/>
  <c r="I52" i="17"/>
  <c r="J52" i="17"/>
  <c r="H53" i="17"/>
  <c r="I53" i="17"/>
  <c r="J53" i="17"/>
  <c r="H54" i="17"/>
  <c r="I54" i="17"/>
  <c r="J54" i="17"/>
  <c r="H20" i="17"/>
  <c r="I20" i="17"/>
  <c r="J20" i="17"/>
  <c r="H21" i="17"/>
  <c r="I21" i="17"/>
  <c r="J21" i="17"/>
  <c r="H22" i="17"/>
  <c r="I22" i="17"/>
  <c r="J22" i="17"/>
  <c r="H23" i="17"/>
  <c r="I23" i="17"/>
  <c r="J23" i="17"/>
  <c r="H24" i="17"/>
  <c r="I24" i="17"/>
  <c r="J24" i="17"/>
  <c r="H26" i="17"/>
  <c r="I26" i="17"/>
  <c r="J26" i="17"/>
  <c r="H27" i="17"/>
  <c r="I27" i="17"/>
  <c r="J27" i="17"/>
  <c r="H28" i="17"/>
  <c r="I28" i="17"/>
  <c r="J28" i="17"/>
  <c r="H29" i="17"/>
  <c r="I29" i="17"/>
  <c r="J29" i="17"/>
  <c r="H30" i="17"/>
  <c r="I30" i="17"/>
  <c r="J30" i="17"/>
  <c r="H31" i="17"/>
  <c r="I31" i="17"/>
  <c r="J31" i="17"/>
  <c r="H32" i="17"/>
  <c r="I32" i="17"/>
  <c r="J32" i="17"/>
  <c r="H33" i="17"/>
  <c r="I33" i="17"/>
  <c r="J33" i="17"/>
  <c r="H34" i="17"/>
  <c r="I34" i="17"/>
  <c r="J34" i="17"/>
  <c r="H35" i="17"/>
  <c r="I35" i="17"/>
  <c r="J35" i="17"/>
  <c r="H36" i="17"/>
  <c r="I36" i="17"/>
  <c r="J36" i="17"/>
  <c r="H37" i="17"/>
  <c r="I37" i="17"/>
  <c r="J37" i="17"/>
  <c r="H38" i="17"/>
  <c r="I38" i="17"/>
  <c r="J38" i="17"/>
  <c r="H39" i="17"/>
  <c r="I39" i="17"/>
  <c r="J39" i="17"/>
  <c r="H40" i="17"/>
  <c r="I40" i="17"/>
  <c r="J40" i="17"/>
  <c r="H41" i="17"/>
  <c r="I41" i="17"/>
  <c r="J41" i="17"/>
  <c r="H42" i="17"/>
  <c r="I42" i="17"/>
  <c r="J42" i="17"/>
  <c r="H43" i="17"/>
  <c r="I43" i="17"/>
  <c r="J43" i="17"/>
  <c r="H44" i="17"/>
  <c r="I44" i="17"/>
  <c r="J44" i="17"/>
  <c r="H45" i="17"/>
  <c r="I45" i="17"/>
  <c r="J45" i="17"/>
  <c r="H46" i="17"/>
  <c r="I46" i="17"/>
  <c r="J46" i="17"/>
  <c r="H3" i="17"/>
  <c r="I3" i="17"/>
  <c r="J3" i="17"/>
  <c r="H4" i="17"/>
  <c r="I4" i="17"/>
  <c r="J4" i="17"/>
  <c r="H5" i="17"/>
  <c r="I5" i="17"/>
  <c r="J5" i="17"/>
  <c r="H6" i="17"/>
  <c r="I6" i="17"/>
  <c r="J6" i="17"/>
  <c r="H7" i="17"/>
  <c r="I7" i="17"/>
  <c r="J7" i="17"/>
  <c r="H8" i="17"/>
  <c r="I8" i="17"/>
  <c r="J8" i="17"/>
  <c r="H9" i="17"/>
  <c r="I9" i="17"/>
  <c r="J9" i="17"/>
  <c r="H10" i="17"/>
  <c r="I10" i="17"/>
  <c r="J10" i="17"/>
  <c r="H11" i="17"/>
  <c r="I11" i="17"/>
  <c r="J11" i="17"/>
  <c r="H12" i="17"/>
  <c r="I12" i="17"/>
  <c r="J12" i="17"/>
  <c r="H13" i="17"/>
  <c r="I13" i="17"/>
  <c r="J13" i="17"/>
  <c r="H14" i="17"/>
  <c r="I14" i="17"/>
  <c r="J14" i="17"/>
  <c r="H15" i="17"/>
  <c r="I15" i="17"/>
  <c r="J15" i="17"/>
  <c r="H16" i="17"/>
  <c r="I16" i="17"/>
  <c r="J16" i="17"/>
  <c r="H17" i="17"/>
  <c r="I17" i="17"/>
  <c r="J17" i="17"/>
  <c r="H18" i="17"/>
  <c r="I18" i="17"/>
  <c r="J18" i="17"/>
  <c r="H19" i="17"/>
  <c r="I19" i="17"/>
  <c r="J19" i="17"/>
  <c r="H3" i="18"/>
  <c r="I3" i="18"/>
  <c r="J3" i="18"/>
  <c r="K3" i="18"/>
  <c r="H4" i="18"/>
  <c r="I4" i="18"/>
  <c r="J4" i="18"/>
  <c r="K4" i="18"/>
  <c r="H5" i="18"/>
  <c r="I5" i="18"/>
  <c r="J5" i="18"/>
  <c r="K5" i="18"/>
  <c r="H6" i="18"/>
  <c r="I6" i="18"/>
  <c r="J6" i="18"/>
  <c r="K6" i="18"/>
  <c r="H7" i="18"/>
  <c r="I7" i="18"/>
  <c r="J7" i="18"/>
  <c r="K7" i="18"/>
  <c r="H8" i="18"/>
  <c r="I8" i="18"/>
  <c r="J8" i="18"/>
  <c r="K8" i="18"/>
  <c r="H9" i="18"/>
  <c r="I9" i="18"/>
  <c r="J9" i="18"/>
  <c r="K9" i="18"/>
  <c r="H10" i="18"/>
  <c r="I10" i="18"/>
  <c r="J10" i="18"/>
  <c r="K10" i="18"/>
  <c r="H11" i="18"/>
  <c r="I11" i="18"/>
  <c r="J11" i="18"/>
  <c r="K11" i="18"/>
  <c r="H12" i="18"/>
  <c r="I12" i="18"/>
  <c r="J12" i="18"/>
  <c r="K12" i="18"/>
  <c r="H13" i="18"/>
  <c r="I13" i="18"/>
  <c r="J13" i="18"/>
  <c r="K13" i="18"/>
  <c r="H14" i="18"/>
  <c r="I14" i="18"/>
  <c r="J14" i="18"/>
  <c r="K14" i="18"/>
  <c r="H15" i="18"/>
  <c r="I15" i="18"/>
  <c r="J15" i="18"/>
  <c r="K15" i="18"/>
  <c r="H16" i="18"/>
  <c r="I16" i="18"/>
  <c r="J16" i="18"/>
  <c r="K16" i="18"/>
  <c r="H17" i="18"/>
  <c r="I17" i="18"/>
  <c r="J17" i="18"/>
  <c r="K17" i="18"/>
  <c r="H18" i="18"/>
  <c r="I18" i="18"/>
  <c r="J18" i="18"/>
  <c r="K18" i="18"/>
  <c r="H19" i="18"/>
  <c r="I19" i="18"/>
  <c r="J19" i="18"/>
  <c r="K19" i="18"/>
  <c r="H20" i="18"/>
  <c r="I20" i="18"/>
  <c r="J20" i="18"/>
  <c r="K20" i="18"/>
  <c r="H21" i="18"/>
  <c r="I21" i="18"/>
  <c r="J21" i="18"/>
  <c r="K21" i="18"/>
  <c r="H22" i="18"/>
  <c r="I22" i="18"/>
  <c r="J22" i="18"/>
  <c r="K22" i="18"/>
  <c r="H23" i="18"/>
  <c r="I23" i="18"/>
  <c r="J23" i="18"/>
  <c r="K23" i="18"/>
  <c r="H24" i="18"/>
  <c r="I24" i="18"/>
  <c r="J24" i="18"/>
  <c r="K24" i="18"/>
  <c r="H26" i="18"/>
  <c r="I26" i="18"/>
  <c r="J26" i="18"/>
  <c r="K26" i="18"/>
  <c r="H27" i="18"/>
  <c r="I27" i="18"/>
  <c r="J27" i="18"/>
  <c r="K27" i="18"/>
  <c r="H28" i="18"/>
  <c r="I28" i="18"/>
  <c r="J28" i="18"/>
  <c r="K28" i="18"/>
  <c r="H29" i="18"/>
  <c r="I29" i="18"/>
  <c r="J29" i="18"/>
  <c r="K29" i="18"/>
  <c r="H30" i="18"/>
  <c r="I30" i="18"/>
  <c r="J30" i="18"/>
  <c r="K30" i="18"/>
  <c r="H31" i="18"/>
  <c r="I31" i="18"/>
  <c r="J31" i="18"/>
  <c r="K31" i="18"/>
  <c r="H32" i="18"/>
  <c r="I32" i="18"/>
  <c r="J32" i="18"/>
  <c r="K32" i="18"/>
  <c r="H33" i="18"/>
  <c r="I33" i="18"/>
  <c r="J33" i="18"/>
  <c r="K33" i="18"/>
  <c r="H34" i="18"/>
  <c r="I34" i="18"/>
  <c r="J34" i="18"/>
  <c r="K34" i="18"/>
  <c r="H35" i="18"/>
  <c r="I35" i="18"/>
  <c r="J35" i="18"/>
  <c r="K35" i="18"/>
  <c r="H36" i="18"/>
  <c r="I36" i="18"/>
  <c r="J36" i="18"/>
  <c r="K36" i="18"/>
  <c r="H37" i="18"/>
  <c r="I37" i="18"/>
  <c r="J37" i="18"/>
  <c r="K37" i="18"/>
  <c r="H38" i="18"/>
  <c r="I38" i="18"/>
  <c r="J38" i="18"/>
  <c r="K38" i="18"/>
  <c r="H39" i="18"/>
  <c r="I39" i="18"/>
  <c r="J39" i="18"/>
  <c r="K39" i="18"/>
  <c r="H40" i="18"/>
  <c r="I40" i="18"/>
  <c r="J40" i="18"/>
  <c r="K40" i="18"/>
  <c r="H41" i="18"/>
  <c r="I41" i="18"/>
  <c r="J41" i="18"/>
  <c r="K41" i="18"/>
  <c r="H42" i="18"/>
  <c r="I42" i="18"/>
  <c r="J42" i="18"/>
  <c r="K42" i="18"/>
  <c r="H43" i="18"/>
  <c r="I43" i="18"/>
  <c r="J43" i="18"/>
  <c r="K43" i="18"/>
  <c r="H44" i="18"/>
  <c r="I44" i="18"/>
  <c r="J44" i="18"/>
  <c r="K44" i="18"/>
  <c r="H45" i="18"/>
  <c r="I45" i="18"/>
  <c r="J45" i="18"/>
  <c r="K45" i="18"/>
  <c r="H46" i="18"/>
  <c r="I46" i="18"/>
  <c r="J46" i="18"/>
  <c r="K46" i="18"/>
  <c r="H47" i="18"/>
  <c r="I47" i="18"/>
  <c r="J47" i="18"/>
  <c r="K47" i="18"/>
  <c r="H48" i="18"/>
  <c r="I48" i="18"/>
  <c r="J48" i="18"/>
  <c r="K48" i="18"/>
  <c r="H49" i="18"/>
  <c r="I49" i="18"/>
  <c r="J49" i="18"/>
  <c r="K49" i="18"/>
  <c r="H50" i="18"/>
  <c r="I50" i="18"/>
  <c r="J50" i="18"/>
  <c r="K50" i="18"/>
  <c r="H51" i="18"/>
  <c r="I51" i="18"/>
  <c r="J51" i="18"/>
  <c r="K51" i="18"/>
  <c r="H52" i="18"/>
  <c r="I52" i="18"/>
  <c r="J52" i="18"/>
  <c r="K52" i="18"/>
  <c r="H53" i="18"/>
  <c r="I53" i="18"/>
  <c r="J53" i="18"/>
  <c r="K53" i="18"/>
  <c r="H54" i="18"/>
  <c r="I54" i="18"/>
  <c r="J54" i="18"/>
  <c r="K54" i="18"/>
  <c r="H3" i="19"/>
  <c r="I3" i="19"/>
  <c r="J3" i="19"/>
  <c r="K3" i="19"/>
  <c r="K3" i="17" s="1"/>
  <c r="H4" i="19"/>
  <c r="I4" i="19"/>
  <c r="J4" i="19"/>
  <c r="K4" i="19"/>
  <c r="K4" i="17" s="1"/>
  <c r="H5" i="19"/>
  <c r="I5" i="19"/>
  <c r="J5" i="19"/>
  <c r="K5" i="19"/>
  <c r="H6" i="19"/>
  <c r="I6" i="19"/>
  <c r="J6" i="19"/>
  <c r="K6" i="19"/>
  <c r="K6" i="17" s="1"/>
  <c r="H7" i="19"/>
  <c r="I7" i="19"/>
  <c r="J7" i="19"/>
  <c r="K7" i="19"/>
  <c r="K7" i="17" s="1"/>
  <c r="H8" i="19"/>
  <c r="I8" i="19"/>
  <c r="J8" i="19"/>
  <c r="K8" i="19"/>
  <c r="K8" i="17" s="1"/>
  <c r="H9" i="19"/>
  <c r="I9" i="19"/>
  <c r="J9" i="19"/>
  <c r="K9" i="19"/>
  <c r="K9" i="17" s="1"/>
  <c r="H10" i="19"/>
  <c r="I10" i="19"/>
  <c r="J10" i="19"/>
  <c r="K10" i="19"/>
  <c r="K10" i="17" s="1"/>
  <c r="H11" i="19"/>
  <c r="I11" i="19"/>
  <c r="J11" i="19"/>
  <c r="K11" i="19"/>
  <c r="K11" i="17" s="1"/>
  <c r="H12" i="19"/>
  <c r="I12" i="19"/>
  <c r="J12" i="19"/>
  <c r="K12" i="19"/>
  <c r="K12" i="17" s="1"/>
  <c r="H13" i="19"/>
  <c r="I13" i="19"/>
  <c r="J13" i="19"/>
  <c r="K13" i="19"/>
  <c r="K13" i="17" s="1"/>
  <c r="H14" i="19"/>
  <c r="I14" i="19"/>
  <c r="J14" i="19"/>
  <c r="K14" i="19"/>
  <c r="K14" i="17" s="1"/>
  <c r="H15" i="19"/>
  <c r="I15" i="19"/>
  <c r="J15" i="19"/>
  <c r="K15" i="19"/>
  <c r="K15" i="17" s="1"/>
  <c r="H16" i="19"/>
  <c r="I16" i="19"/>
  <c r="J16" i="19"/>
  <c r="K16" i="19"/>
  <c r="K16" i="17" s="1"/>
  <c r="H17" i="19"/>
  <c r="I17" i="19"/>
  <c r="J17" i="19"/>
  <c r="K17" i="19"/>
  <c r="K17" i="17" s="1"/>
  <c r="H18" i="19"/>
  <c r="I18" i="19"/>
  <c r="J18" i="19"/>
  <c r="K18" i="19"/>
  <c r="K18" i="17" s="1"/>
  <c r="H19" i="19"/>
  <c r="I19" i="19"/>
  <c r="J19" i="19"/>
  <c r="K19" i="19"/>
  <c r="H20" i="19"/>
  <c r="I20" i="19"/>
  <c r="J20" i="19"/>
  <c r="K20" i="19"/>
  <c r="K20" i="17" s="1"/>
  <c r="H21" i="19"/>
  <c r="I21" i="19"/>
  <c r="J21" i="19"/>
  <c r="K21" i="19"/>
  <c r="K21" i="17" s="1"/>
  <c r="H22" i="19"/>
  <c r="I22" i="19"/>
  <c r="J22" i="19"/>
  <c r="K22" i="19"/>
  <c r="K22" i="17" s="1"/>
  <c r="H23" i="19"/>
  <c r="I23" i="19"/>
  <c r="J23" i="19"/>
  <c r="K23" i="19"/>
  <c r="K23" i="17" s="1"/>
  <c r="H24" i="19"/>
  <c r="I24" i="19"/>
  <c r="J24" i="19"/>
  <c r="K24" i="19"/>
  <c r="K24" i="17" s="1"/>
  <c r="H26" i="19"/>
  <c r="I26" i="19"/>
  <c r="J26" i="19"/>
  <c r="K26" i="19"/>
  <c r="K26" i="17" s="1"/>
  <c r="H27" i="19"/>
  <c r="I27" i="19"/>
  <c r="J27" i="19"/>
  <c r="K27" i="19"/>
  <c r="K27" i="17" s="1"/>
  <c r="H28" i="19"/>
  <c r="I28" i="19"/>
  <c r="J28" i="19"/>
  <c r="K28" i="19"/>
  <c r="K28" i="17" s="1"/>
  <c r="H29" i="19"/>
  <c r="I29" i="19"/>
  <c r="J29" i="19"/>
  <c r="K29" i="19"/>
  <c r="K29" i="17" s="1"/>
  <c r="H30" i="19"/>
  <c r="I30" i="19"/>
  <c r="J30" i="19"/>
  <c r="K30" i="19"/>
  <c r="K30" i="17" s="1"/>
  <c r="H31" i="19"/>
  <c r="I31" i="19"/>
  <c r="J31" i="19"/>
  <c r="K31" i="19"/>
  <c r="K31" i="17" s="1"/>
  <c r="H32" i="19"/>
  <c r="I32" i="19"/>
  <c r="J32" i="19"/>
  <c r="K32" i="19"/>
  <c r="K32" i="17" s="1"/>
  <c r="H33" i="19"/>
  <c r="I33" i="19"/>
  <c r="J33" i="19"/>
  <c r="K33" i="19"/>
  <c r="K33" i="17" s="1"/>
  <c r="H34" i="19"/>
  <c r="I34" i="19"/>
  <c r="J34" i="19"/>
  <c r="K34" i="19"/>
  <c r="K34" i="17" s="1"/>
  <c r="H35" i="19"/>
  <c r="I35" i="19"/>
  <c r="J35" i="19"/>
  <c r="K35" i="19"/>
  <c r="K35" i="17" s="1"/>
  <c r="H36" i="19"/>
  <c r="I36" i="19"/>
  <c r="J36" i="19"/>
  <c r="K36" i="19"/>
  <c r="K36" i="17" s="1"/>
  <c r="H37" i="19"/>
  <c r="I37" i="19"/>
  <c r="J37" i="19"/>
  <c r="K37" i="19"/>
  <c r="K37" i="17" s="1"/>
  <c r="H38" i="19"/>
  <c r="I38" i="19"/>
  <c r="J38" i="19"/>
  <c r="K38" i="19"/>
  <c r="K38" i="17" s="1"/>
  <c r="H39" i="19"/>
  <c r="I39" i="19"/>
  <c r="J39" i="19"/>
  <c r="K39" i="19"/>
  <c r="K39" i="17" s="1"/>
  <c r="H40" i="19"/>
  <c r="I40" i="19"/>
  <c r="J40" i="19"/>
  <c r="K40" i="19"/>
  <c r="K40" i="17" s="1"/>
  <c r="H41" i="19"/>
  <c r="I41" i="19"/>
  <c r="J41" i="19"/>
  <c r="K41" i="19"/>
  <c r="H42" i="19"/>
  <c r="I42" i="19"/>
  <c r="J42" i="19"/>
  <c r="K42" i="19"/>
  <c r="K42" i="17" s="1"/>
  <c r="H43" i="19"/>
  <c r="I43" i="19"/>
  <c r="J43" i="19"/>
  <c r="K43" i="19"/>
  <c r="K43" i="17" s="1"/>
  <c r="H44" i="19"/>
  <c r="I44" i="19"/>
  <c r="J44" i="19"/>
  <c r="K44" i="19"/>
  <c r="K44" i="17" s="1"/>
  <c r="H45" i="19"/>
  <c r="I45" i="19"/>
  <c r="J45" i="19"/>
  <c r="K45" i="19"/>
  <c r="K45" i="17" s="1"/>
  <c r="H46" i="19"/>
  <c r="I46" i="19"/>
  <c r="J46" i="19"/>
  <c r="K46" i="19"/>
  <c r="K46" i="17" s="1"/>
  <c r="H47" i="19"/>
  <c r="I47" i="19"/>
  <c r="J47" i="19"/>
  <c r="K47" i="19"/>
  <c r="K47" i="17" s="1"/>
  <c r="H48" i="19"/>
  <c r="I48" i="19"/>
  <c r="J48" i="19"/>
  <c r="K48" i="19"/>
  <c r="K48" i="17" s="1"/>
  <c r="H49" i="19"/>
  <c r="I49" i="19"/>
  <c r="J49" i="19"/>
  <c r="K49" i="19"/>
  <c r="K49" i="17" s="1"/>
  <c r="H50" i="19"/>
  <c r="I50" i="19"/>
  <c r="J50" i="19"/>
  <c r="K50" i="19"/>
  <c r="K50" i="17" s="1"/>
  <c r="H51" i="19"/>
  <c r="I51" i="19"/>
  <c r="J51" i="19"/>
  <c r="K51" i="19"/>
  <c r="K51" i="17" s="1"/>
  <c r="H52" i="19"/>
  <c r="I52" i="19"/>
  <c r="J52" i="19"/>
  <c r="K52" i="19"/>
  <c r="K52" i="17" s="1"/>
  <c r="H53" i="19"/>
  <c r="I53" i="19"/>
  <c r="J53" i="19"/>
  <c r="K53" i="19"/>
  <c r="K53" i="17" s="1"/>
  <c r="H54" i="19"/>
  <c r="I54" i="19"/>
  <c r="J54" i="19"/>
  <c r="K54" i="19"/>
  <c r="K54" i="17" s="1"/>
  <c r="D2" i="20"/>
  <c r="D107" i="20"/>
  <c r="D108" i="20"/>
  <c r="D109" i="20"/>
  <c r="D110" i="20"/>
  <c r="D111" i="20"/>
  <c r="D112" i="20"/>
  <c r="D113" i="20"/>
  <c r="D114" i="20"/>
  <c r="D115" i="20"/>
  <c r="D116" i="20"/>
  <c r="D117" i="20"/>
  <c r="D118" i="20"/>
  <c r="D119" i="20"/>
  <c r="D120" i="20"/>
  <c r="D121" i="20"/>
  <c r="D122" i="20"/>
  <c r="D123" i="20"/>
  <c r="D124" i="20"/>
  <c r="D125" i="20"/>
  <c r="D126" i="20"/>
  <c r="D127" i="20"/>
  <c r="D128" i="20"/>
  <c r="D129" i="20"/>
  <c r="D130" i="20"/>
  <c r="D131" i="20"/>
  <c r="D132" i="20"/>
  <c r="D133" i="20"/>
  <c r="D134" i="20"/>
  <c r="D135" i="20"/>
  <c r="D136" i="20"/>
  <c r="D137" i="20"/>
  <c r="D138" i="20"/>
  <c r="D139" i="20"/>
  <c r="D140" i="20"/>
  <c r="D141" i="20"/>
  <c r="D142" i="20"/>
  <c r="D143" i="20"/>
  <c r="D144" i="20"/>
  <c r="D145" i="20"/>
  <c r="D146" i="20"/>
  <c r="D147" i="20"/>
  <c r="D148" i="20"/>
  <c r="D149" i="20"/>
  <c r="D150" i="20"/>
  <c r="D151" i="20"/>
  <c r="D152" i="20"/>
  <c r="D153" i="20"/>
  <c r="D154" i="20"/>
  <c r="D155" i="20"/>
  <c r="D156" i="20"/>
  <c r="D157" i="20"/>
  <c r="D106" i="20"/>
  <c r="D55" i="20"/>
  <c r="D56" i="20"/>
  <c r="D57" i="20"/>
  <c r="D58" i="20"/>
  <c r="D59" i="20"/>
  <c r="D60" i="20"/>
  <c r="D61" i="20"/>
  <c r="D62" i="20"/>
  <c r="D63" i="20"/>
  <c r="D64" i="20"/>
  <c r="D65" i="20"/>
  <c r="D66" i="20"/>
  <c r="D67" i="20"/>
  <c r="D68" i="20"/>
  <c r="D69" i="20"/>
  <c r="D70" i="20"/>
  <c r="D71" i="20"/>
  <c r="D72" i="20"/>
  <c r="D73" i="20"/>
  <c r="D74" i="20"/>
  <c r="D75" i="20"/>
  <c r="D76" i="20"/>
  <c r="D77" i="20"/>
  <c r="D78" i="20"/>
  <c r="D79" i="20"/>
  <c r="D80" i="20"/>
  <c r="D81" i="20"/>
  <c r="D82" i="20"/>
  <c r="D83" i="20"/>
  <c r="D84" i="20"/>
  <c r="D85" i="20"/>
  <c r="D86" i="20"/>
  <c r="D87" i="20"/>
  <c r="D88" i="20"/>
  <c r="D89" i="20"/>
  <c r="D90" i="20"/>
  <c r="D91" i="20"/>
  <c r="D92" i="20"/>
  <c r="D93" i="20"/>
  <c r="D94" i="20"/>
  <c r="D95" i="20"/>
  <c r="D96" i="20"/>
  <c r="D97" i="20"/>
  <c r="D98" i="20"/>
  <c r="D99" i="20"/>
  <c r="D100" i="20"/>
  <c r="D101" i="20"/>
  <c r="D102" i="20"/>
  <c r="D103" i="20"/>
  <c r="D104" i="20"/>
  <c r="D105" i="20"/>
  <c r="D54" i="20"/>
  <c r="D3" i="20"/>
  <c r="D4" i="20"/>
  <c r="D5" i="20"/>
  <c r="D6" i="20"/>
  <c r="D7" i="20"/>
  <c r="D8" i="20"/>
  <c r="D9" i="20"/>
  <c r="D10" i="20"/>
  <c r="D11" i="20"/>
  <c r="D12" i="20"/>
  <c r="D13" i="20"/>
  <c r="D14" i="20"/>
  <c r="D15" i="20"/>
  <c r="D16" i="20"/>
  <c r="D17" i="20"/>
  <c r="D18" i="20"/>
  <c r="D19" i="20"/>
  <c r="D20" i="20"/>
  <c r="D21" i="20"/>
  <c r="D22" i="20"/>
  <c r="D23" i="20"/>
  <c r="D24" i="20"/>
  <c r="D25" i="20"/>
  <c r="D26" i="20"/>
  <c r="D27" i="20"/>
  <c r="D28" i="20"/>
  <c r="D29" i="20"/>
  <c r="D30" i="20"/>
  <c r="D31" i="20"/>
  <c r="D32" i="20"/>
  <c r="D33" i="20"/>
  <c r="D34" i="20"/>
  <c r="D35" i="20"/>
  <c r="D36" i="20"/>
  <c r="D37" i="20"/>
  <c r="D38" i="20"/>
  <c r="D39" i="20"/>
  <c r="D40" i="20"/>
  <c r="D41" i="20"/>
  <c r="D42" i="20"/>
  <c r="D43" i="20"/>
  <c r="D44" i="20"/>
  <c r="D45" i="20"/>
  <c r="D46" i="20"/>
  <c r="D47" i="20"/>
  <c r="D48" i="20"/>
  <c r="D49" i="20"/>
  <c r="D50" i="20"/>
  <c r="D51" i="20"/>
  <c r="D52" i="20"/>
  <c r="D53" i="20"/>
  <c r="A2" i="20"/>
  <c r="A3" i="20"/>
  <c r="A4" i="20"/>
  <c r="A5" i="20"/>
  <c r="A6" i="20"/>
  <c r="A7" i="20"/>
  <c r="A8" i="20"/>
  <c r="A9" i="20"/>
  <c r="A10" i="20"/>
  <c r="A11" i="20"/>
  <c r="A12" i="20"/>
  <c r="A13" i="20"/>
  <c r="A14" i="20"/>
  <c r="A15" i="20"/>
  <c r="A16" i="20"/>
  <c r="A17" i="20"/>
  <c r="A18" i="20"/>
  <c r="A19" i="20"/>
  <c r="A20" i="20"/>
  <c r="A21" i="20"/>
  <c r="A22" i="20"/>
  <c r="A23" i="20"/>
  <c r="A24" i="20"/>
  <c r="A25" i="20"/>
  <c r="A26" i="20"/>
  <c r="A27" i="20"/>
  <c r="A28" i="20"/>
  <c r="A29" i="20"/>
  <c r="A30" i="20"/>
  <c r="A31" i="20"/>
  <c r="A32" i="20"/>
  <c r="A33" i="20"/>
  <c r="A34" i="20"/>
  <c r="A35" i="20"/>
  <c r="A36" i="20"/>
  <c r="A37" i="20"/>
  <c r="A38" i="20"/>
  <c r="A39" i="20"/>
  <c r="A40" i="20"/>
  <c r="A41" i="20"/>
  <c r="A42" i="20"/>
  <c r="A43" i="20"/>
  <c r="A44" i="20"/>
  <c r="A45" i="20"/>
  <c r="A46" i="20"/>
  <c r="A47" i="20"/>
  <c r="A48" i="20"/>
  <c r="A49" i="20"/>
  <c r="A50" i="20"/>
  <c r="A51" i="20"/>
  <c r="A52" i="20"/>
  <c r="A53" i="20"/>
  <c r="A1" i="5"/>
  <c r="K41" i="17" l="1"/>
  <c r="K19" i="17"/>
  <c r="K5" i="17"/>
  <c r="D44" i="18"/>
  <c r="D45" i="18"/>
  <c r="D8" i="19" l="1"/>
  <c r="D45" i="19"/>
  <c r="D44" i="19"/>
  <c r="D33" i="19"/>
  <c r="D29" i="19"/>
  <c r="D21" i="19"/>
  <c r="D19" i="19"/>
  <c r="D17" i="19"/>
  <c r="D15" i="19"/>
  <c r="D14" i="19"/>
  <c r="D13" i="19"/>
  <c r="D44" i="17"/>
  <c r="D43" i="17"/>
  <c r="D32" i="17"/>
  <c r="D28" i="17"/>
  <c r="D21" i="17"/>
  <c r="D19" i="17"/>
  <c r="D17" i="17"/>
  <c r="D15" i="17"/>
  <c r="D14" i="17"/>
  <c r="D13" i="17"/>
  <c r="D8" i="17"/>
  <c r="D7" i="17"/>
  <c r="D4" i="17"/>
  <c r="D4" i="19" l="1"/>
  <c r="D7" i="19"/>
  <c r="K1" i="19" l="1"/>
  <c r="I1" i="17"/>
  <c r="J1" i="18"/>
  <c r="A125" i="20" l="1"/>
  <c r="A126" i="20"/>
  <c r="A127" i="20"/>
  <c r="A128" i="20"/>
  <c r="A129" i="20"/>
  <c r="A130" i="20"/>
  <c r="A131" i="20"/>
  <c r="A132" i="20"/>
  <c r="A133" i="20"/>
  <c r="A134" i="20"/>
  <c r="A135" i="20"/>
  <c r="A136" i="20"/>
  <c r="A137" i="20"/>
  <c r="A138" i="20"/>
  <c r="A139" i="20"/>
  <c r="A140" i="20"/>
  <c r="A141" i="20"/>
  <c r="A142" i="20"/>
  <c r="A143" i="20"/>
  <c r="A144" i="20"/>
  <c r="A145" i="20"/>
  <c r="A146" i="20"/>
  <c r="A147" i="20"/>
  <c r="A148" i="20"/>
  <c r="A149" i="20"/>
  <c r="A150" i="20"/>
  <c r="A151" i="20"/>
  <c r="A152" i="20"/>
  <c r="A153" i="20"/>
  <c r="A154" i="20"/>
  <c r="A155" i="20"/>
  <c r="A156" i="20"/>
  <c r="A157" i="20"/>
  <c r="A119" i="20"/>
  <c r="A120" i="20"/>
  <c r="A121" i="20"/>
  <c r="A122" i="20"/>
  <c r="A123" i="20"/>
  <c r="A124" i="20"/>
  <c r="A107" i="20"/>
  <c r="A108" i="20"/>
  <c r="A109" i="20"/>
  <c r="A110" i="20"/>
  <c r="A111" i="20"/>
  <c r="A112" i="20"/>
  <c r="A113" i="20"/>
  <c r="A114" i="20"/>
  <c r="A115" i="20"/>
  <c r="A116" i="20"/>
  <c r="A117" i="20"/>
  <c r="A118" i="20"/>
  <c r="A106" i="20"/>
  <c r="A55" i="20"/>
  <c r="A56" i="20"/>
  <c r="A57" i="20"/>
  <c r="A58" i="20"/>
  <c r="A59" i="20"/>
  <c r="A60" i="20"/>
  <c r="A61" i="20"/>
  <c r="A62" i="20"/>
  <c r="A63" i="20"/>
  <c r="A64" i="20"/>
  <c r="A65" i="20"/>
  <c r="A66" i="20"/>
  <c r="A67" i="20"/>
  <c r="A68" i="20"/>
  <c r="A69" i="20"/>
  <c r="A70" i="20"/>
  <c r="A71" i="20"/>
  <c r="A72" i="20"/>
  <c r="A73" i="20"/>
  <c r="A74" i="20"/>
  <c r="A75" i="20"/>
  <c r="A76" i="20"/>
  <c r="A77" i="20"/>
  <c r="A78" i="20"/>
  <c r="A79" i="20"/>
  <c r="A80" i="20"/>
  <c r="A81" i="20"/>
  <c r="A82" i="20"/>
  <c r="A83" i="20"/>
  <c r="A84" i="20"/>
  <c r="A85" i="20"/>
  <c r="A86" i="20"/>
  <c r="A87" i="20"/>
  <c r="A88" i="20"/>
  <c r="A89" i="20"/>
  <c r="A90" i="20"/>
  <c r="A91" i="20"/>
  <c r="A92" i="20"/>
  <c r="A93" i="20"/>
  <c r="A94" i="20"/>
  <c r="A95" i="20"/>
  <c r="A96" i="20"/>
  <c r="A97" i="20"/>
  <c r="A98" i="20"/>
  <c r="A99" i="20"/>
  <c r="A100" i="20"/>
  <c r="A101" i="20"/>
  <c r="A102" i="20"/>
  <c r="A103" i="20"/>
  <c r="A104" i="20"/>
  <c r="A105" i="20"/>
  <c r="A54" i="20"/>
  <c r="D4" i="18"/>
  <c r="D13" i="18"/>
  <c r="K2" i="18"/>
  <c r="K2" i="19"/>
  <c r="K2" i="17" s="1"/>
  <c r="I2" i="19"/>
  <c r="J2" i="19"/>
  <c r="H2" i="19"/>
  <c r="J2" i="17"/>
  <c r="J2" i="18"/>
  <c r="I2" i="18"/>
  <c r="D33" i="18"/>
  <c r="D29" i="18"/>
  <c r="D21" i="18"/>
  <c r="D19" i="18"/>
  <c r="D17" i="18"/>
  <c r="D15" i="18"/>
  <c r="D14" i="18"/>
  <c r="D8" i="18"/>
  <c r="D7" i="18"/>
  <c r="H2" i="18"/>
  <c r="I2" i="17" l="1"/>
  <c r="H2" i="17" l="1"/>
  <c r="E63" i="2" l="1"/>
  <c r="E62" i="2"/>
  <c r="E57" i="2"/>
  <c r="P56" i="2"/>
  <c r="P52" i="2"/>
  <c r="E52" i="2"/>
  <c r="E49" i="2"/>
  <c r="P46" i="2"/>
  <c r="P43" i="2"/>
  <c r="E40" i="2"/>
  <c r="E35" i="2"/>
  <c r="P28" i="2"/>
  <c r="P25" i="2"/>
  <c r="E22" i="2"/>
  <c r="P21" i="2"/>
  <c r="P17" i="2"/>
  <c r="E17" i="2"/>
  <c r="E14" i="2"/>
  <c r="P9" i="2"/>
  <c r="P7" i="2"/>
  <c r="P5" i="2"/>
  <c r="E5" i="2"/>
  <c r="P4" i="2"/>
  <c r="H72" i="2"/>
  <c r="R67" i="2"/>
  <c r="Q67" i="2"/>
  <c r="P67" i="2"/>
  <c r="O67" i="2"/>
  <c r="N67" i="2"/>
  <c r="G67" i="2"/>
  <c r="F67" i="2"/>
  <c r="E67" i="2"/>
  <c r="C67" i="2"/>
  <c r="B67" i="2"/>
  <c r="R66" i="2"/>
  <c r="Q66" i="2"/>
  <c r="P66" i="2"/>
  <c r="O66" i="2"/>
  <c r="N66" i="2"/>
  <c r="G66" i="2"/>
  <c r="F66" i="2"/>
  <c r="E66" i="2"/>
  <c r="C66" i="2"/>
  <c r="B66" i="2"/>
  <c r="R65" i="2"/>
  <c r="Q65" i="2"/>
  <c r="P65" i="2"/>
  <c r="O65" i="2"/>
  <c r="N65" i="2"/>
  <c r="G65" i="2"/>
  <c r="F65" i="2"/>
  <c r="E65" i="2"/>
  <c r="C65" i="2"/>
  <c r="B65" i="2"/>
  <c r="R63" i="2"/>
  <c r="Q63" i="2"/>
  <c r="P63" i="2"/>
  <c r="O63" i="2"/>
  <c r="N63" i="2"/>
  <c r="G63" i="2"/>
  <c r="F63" i="2"/>
  <c r="C63" i="2"/>
  <c r="B63" i="2"/>
  <c r="R62" i="2"/>
  <c r="Q62" i="2"/>
  <c r="P62" i="2"/>
  <c r="O62" i="2"/>
  <c r="N62" i="2"/>
  <c r="G62" i="2"/>
  <c r="F62" i="2"/>
  <c r="C62" i="2"/>
  <c r="B62" i="2"/>
  <c r="R61" i="2"/>
  <c r="Q61" i="2"/>
  <c r="P61" i="2"/>
  <c r="O61" i="2"/>
  <c r="N61" i="2"/>
  <c r="G61" i="2"/>
  <c r="F61" i="2"/>
  <c r="E61" i="2"/>
  <c r="C61" i="2"/>
  <c r="B61" i="2"/>
  <c r="R60" i="2"/>
  <c r="Q60" i="2"/>
  <c r="P60" i="2"/>
  <c r="O60" i="2"/>
  <c r="N60" i="2"/>
  <c r="G60" i="2"/>
  <c r="F60" i="2"/>
  <c r="E60" i="2"/>
  <c r="C60" i="2"/>
  <c r="B60" i="2"/>
  <c r="R59" i="2"/>
  <c r="Q59" i="2"/>
  <c r="P59" i="2"/>
  <c r="O59" i="2"/>
  <c r="N59" i="2"/>
  <c r="G59" i="2"/>
  <c r="F59" i="2"/>
  <c r="E59" i="2"/>
  <c r="C59" i="2"/>
  <c r="B59" i="2"/>
  <c r="R57" i="2"/>
  <c r="Q57" i="2"/>
  <c r="P57" i="2"/>
  <c r="O57" i="2"/>
  <c r="N57" i="2"/>
  <c r="G57" i="2"/>
  <c r="F57" i="2"/>
  <c r="C57" i="2"/>
  <c r="B57" i="2"/>
  <c r="R56" i="2"/>
  <c r="Q56" i="2"/>
  <c r="O56" i="2"/>
  <c r="N56" i="2"/>
  <c r="G56" i="2"/>
  <c r="F56" i="2"/>
  <c r="E56" i="2"/>
  <c r="C56" i="2"/>
  <c r="B56" i="2"/>
  <c r="R55" i="2"/>
  <c r="Q55" i="2"/>
  <c r="P55" i="2"/>
  <c r="O55" i="2"/>
  <c r="N55" i="2"/>
  <c r="G55" i="2"/>
  <c r="F55" i="2"/>
  <c r="E55" i="2"/>
  <c r="C55" i="2"/>
  <c r="B55" i="2"/>
  <c r="R54" i="2"/>
  <c r="Q54" i="2"/>
  <c r="P54" i="2"/>
  <c r="O54" i="2"/>
  <c r="N54" i="2"/>
  <c r="G54" i="2"/>
  <c r="F54" i="2"/>
  <c r="E54" i="2"/>
  <c r="C54" i="2"/>
  <c r="B54" i="2"/>
  <c r="R53" i="2"/>
  <c r="Q53" i="2"/>
  <c r="P53" i="2"/>
  <c r="O53" i="2"/>
  <c r="N53" i="2"/>
  <c r="G53" i="2"/>
  <c r="F53" i="2"/>
  <c r="E53" i="2"/>
  <c r="C53" i="2"/>
  <c r="B53" i="2"/>
  <c r="R52" i="2"/>
  <c r="Q52" i="2"/>
  <c r="O52" i="2"/>
  <c r="N52" i="2"/>
  <c r="G52" i="2"/>
  <c r="F52" i="2"/>
  <c r="C52" i="2"/>
  <c r="B52" i="2"/>
  <c r="R51" i="2"/>
  <c r="Q51" i="2"/>
  <c r="P51" i="2"/>
  <c r="O51" i="2"/>
  <c r="N51" i="2"/>
  <c r="G51" i="2"/>
  <c r="F51" i="2"/>
  <c r="E51" i="2"/>
  <c r="C51" i="2"/>
  <c r="B51" i="2"/>
  <c r="R49" i="2"/>
  <c r="Q49" i="2"/>
  <c r="P49" i="2"/>
  <c r="O49" i="2"/>
  <c r="N49" i="2"/>
  <c r="G49" i="2"/>
  <c r="F49" i="2"/>
  <c r="C49" i="2"/>
  <c r="B49" i="2"/>
  <c r="R48" i="2"/>
  <c r="Q48" i="2"/>
  <c r="P48" i="2"/>
  <c r="O48" i="2"/>
  <c r="N48" i="2"/>
  <c r="G48" i="2"/>
  <c r="F48" i="2"/>
  <c r="E48" i="2"/>
  <c r="C48" i="2"/>
  <c r="B48" i="2"/>
  <c r="R47" i="2"/>
  <c r="Q47" i="2"/>
  <c r="P47" i="2"/>
  <c r="O47" i="2"/>
  <c r="N47" i="2"/>
  <c r="G47" i="2"/>
  <c r="F47" i="2"/>
  <c r="E47" i="2"/>
  <c r="C47" i="2"/>
  <c r="B47" i="2"/>
  <c r="R46" i="2"/>
  <c r="Q46" i="2"/>
  <c r="O46" i="2"/>
  <c r="N46" i="2"/>
  <c r="G46" i="2"/>
  <c r="F46" i="2"/>
  <c r="E46" i="2"/>
  <c r="C46" i="2"/>
  <c r="B46" i="2"/>
  <c r="R45" i="2"/>
  <c r="Q45" i="2"/>
  <c r="P45" i="2"/>
  <c r="O45" i="2"/>
  <c r="N45" i="2"/>
  <c r="G45" i="2"/>
  <c r="F45" i="2"/>
  <c r="E45" i="2"/>
  <c r="C45" i="2"/>
  <c r="B45" i="2"/>
  <c r="R43" i="2"/>
  <c r="Q43" i="2"/>
  <c r="O43" i="2"/>
  <c r="N43" i="2"/>
  <c r="G43" i="2"/>
  <c r="F43" i="2"/>
  <c r="E43" i="2"/>
  <c r="C43" i="2"/>
  <c r="B43" i="2"/>
  <c r="R42" i="2"/>
  <c r="Q42" i="2"/>
  <c r="P42" i="2"/>
  <c r="O42" i="2"/>
  <c r="N42" i="2"/>
  <c r="G42" i="2"/>
  <c r="F42" i="2"/>
  <c r="E42" i="2"/>
  <c r="C42" i="2"/>
  <c r="B42" i="2"/>
  <c r="R40" i="2"/>
  <c r="Q40" i="2"/>
  <c r="P40" i="2"/>
  <c r="O40" i="2"/>
  <c r="N40" i="2"/>
  <c r="G40" i="2"/>
  <c r="F40" i="2"/>
  <c r="C40" i="2"/>
  <c r="B40" i="2"/>
  <c r="R39" i="2"/>
  <c r="Q39" i="2"/>
  <c r="P39" i="2"/>
  <c r="O39" i="2"/>
  <c r="N39" i="2"/>
  <c r="G39" i="2"/>
  <c r="F39" i="2"/>
  <c r="E39" i="2"/>
  <c r="C39" i="2"/>
  <c r="B39" i="2"/>
  <c r="R38" i="2"/>
  <c r="Q38" i="2"/>
  <c r="P38" i="2"/>
  <c r="O38" i="2"/>
  <c r="N38" i="2"/>
  <c r="G38" i="2"/>
  <c r="F38" i="2"/>
  <c r="E38" i="2"/>
  <c r="C38" i="2"/>
  <c r="B38" i="2"/>
  <c r="R37" i="2"/>
  <c r="Q37" i="2"/>
  <c r="P37" i="2"/>
  <c r="O37" i="2"/>
  <c r="N37" i="2"/>
  <c r="G37" i="2"/>
  <c r="F37" i="2"/>
  <c r="E37" i="2"/>
  <c r="C37" i="2"/>
  <c r="B37" i="2"/>
  <c r="R36" i="2"/>
  <c r="Q36" i="2"/>
  <c r="P36" i="2"/>
  <c r="O36" i="2"/>
  <c r="N36" i="2"/>
  <c r="G36" i="2"/>
  <c r="F36" i="2"/>
  <c r="E36" i="2"/>
  <c r="C36" i="2"/>
  <c r="B36" i="2"/>
  <c r="R35" i="2"/>
  <c r="Q35" i="2"/>
  <c r="P35" i="2"/>
  <c r="O35" i="2"/>
  <c r="G35" i="2"/>
  <c r="F35" i="2"/>
  <c r="C35" i="2"/>
  <c r="R34" i="2"/>
  <c r="Q34" i="2"/>
  <c r="P34" i="2"/>
  <c r="O34" i="2"/>
  <c r="G34" i="2"/>
  <c r="F34" i="2"/>
  <c r="E34" i="2"/>
  <c r="C34" i="2"/>
  <c r="R33" i="2"/>
  <c r="Q33" i="2"/>
  <c r="P33" i="2"/>
  <c r="O33" i="2"/>
  <c r="G33" i="2"/>
  <c r="F33" i="2"/>
  <c r="E33" i="2"/>
  <c r="C33" i="2"/>
  <c r="R31" i="2"/>
  <c r="Q31" i="2"/>
  <c r="P31" i="2"/>
  <c r="O31" i="2"/>
  <c r="N31" i="2"/>
  <c r="G31" i="2"/>
  <c r="F31" i="2"/>
  <c r="E31" i="2"/>
  <c r="C31" i="2"/>
  <c r="B31" i="2"/>
  <c r="R29" i="2"/>
  <c r="Q29" i="2"/>
  <c r="P29" i="2"/>
  <c r="O29" i="2"/>
  <c r="N29" i="2"/>
  <c r="G29" i="2"/>
  <c r="F29" i="2"/>
  <c r="E29" i="2"/>
  <c r="C29" i="2"/>
  <c r="B29" i="2"/>
  <c r="R28" i="2"/>
  <c r="Q28" i="2"/>
  <c r="O28" i="2"/>
  <c r="N28" i="2"/>
  <c r="G28" i="2"/>
  <c r="F28" i="2"/>
  <c r="E28" i="2"/>
  <c r="C28" i="2"/>
  <c r="B28" i="2"/>
  <c r="R26" i="2"/>
  <c r="Q26" i="2"/>
  <c r="P26" i="2"/>
  <c r="O26" i="2"/>
  <c r="N26" i="2"/>
  <c r="G26" i="2"/>
  <c r="F26" i="2"/>
  <c r="E26" i="2"/>
  <c r="C26" i="2"/>
  <c r="B26" i="2"/>
  <c r="R25" i="2"/>
  <c r="Q25" i="2"/>
  <c r="O25" i="2"/>
  <c r="N25" i="2"/>
  <c r="G25" i="2"/>
  <c r="F25" i="2"/>
  <c r="E25" i="2"/>
  <c r="C25" i="2"/>
  <c r="B25" i="2"/>
  <c r="R23" i="2"/>
  <c r="Q23" i="2"/>
  <c r="P23" i="2"/>
  <c r="O23" i="2"/>
  <c r="N23" i="2"/>
  <c r="G23" i="2"/>
  <c r="F23" i="2"/>
  <c r="E23" i="2"/>
  <c r="C23" i="2"/>
  <c r="B23" i="2"/>
  <c r="R22" i="2"/>
  <c r="Q22" i="2"/>
  <c r="P22" i="2"/>
  <c r="O22" i="2"/>
  <c r="N22" i="2"/>
  <c r="G22" i="2"/>
  <c r="F22" i="2"/>
  <c r="C22" i="2"/>
  <c r="B22" i="2"/>
  <c r="R21" i="2"/>
  <c r="Q21" i="2"/>
  <c r="O21" i="2"/>
  <c r="N21" i="2"/>
  <c r="G21" i="2"/>
  <c r="F21" i="2"/>
  <c r="E21" i="2"/>
  <c r="C21" i="2"/>
  <c r="B21" i="2"/>
  <c r="R20" i="2"/>
  <c r="Q20" i="2"/>
  <c r="P20" i="2"/>
  <c r="O20" i="2"/>
  <c r="N20" i="2"/>
  <c r="G20" i="2"/>
  <c r="F20" i="2"/>
  <c r="E20" i="2"/>
  <c r="C20" i="2"/>
  <c r="B20" i="2"/>
  <c r="R19" i="2"/>
  <c r="Q19" i="2"/>
  <c r="P19" i="2"/>
  <c r="O19" i="2"/>
  <c r="N19" i="2"/>
  <c r="G19" i="2"/>
  <c r="F19" i="2"/>
  <c r="E19" i="2"/>
  <c r="C19" i="2"/>
  <c r="B19" i="2"/>
  <c r="R18" i="2"/>
  <c r="Q18" i="2"/>
  <c r="P18" i="2"/>
  <c r="O18" i="2"/>
  <c r="N18" i="2"/>
  <c r="G18" i="2"/>
  <c r="F18" i="2"/>
  <c r="E18" i="2"/>
  <c r="C18" i="2"/>
  <c r="B18" i="2"/>
  <c r="R17" i="2"/>
  <c r="Q17" i="2"/>
  <c r="O17" i="2"/>
  <c r="N17" i="2"/>
  <c r="G17" i="2"/>
  <c r="F17" i="2"/>
  <c r="C17" i="2"/>
  <c r="B17" i="2"/>
  <c r="R16" i="2"/>
  <c r="Q16" i="2"/>
  <c r="P16" i="2"/>
  <c r="O16" i="2"/>
  <c r="N16" i="2"/>
  <c r="G16" i="2"/>
  <c r="F16" i="2"/>
  <c r="E16" i="2"/>
  <c r="C16" i="2"/>
  <c r="B16" i="2"/>
  <c r="R14" i="2"/>
  <c r="Q14" i="2"/>
  <c r="P14" i="2"/>
  <c r="O14" i="2"/>
  <c r="N14" i="2"/>
  <c r="G14" i="2"/>
  <c r="F14" i="2"/>
  <c r="C14" i="2"/>
  <c r="B14" i="2"/>
  <c r="R13" i="2"/>
  <c r="Q13" i="2"/>
  <c r="P13" i="2"/>
  <c r="O13" i="2"/>
  <c r="N13" i="2"/>
  <c r="G13" i="2"/>
  <c r="F13" i="2"/>
  <c r="E13" i="2"/>
  <c r="C13" i="2"/>
  <c r="B13" i="2"/>
  <c r="R11" i="2"/>
  <c r="Q11" i="2"/>
  <c r="P11" i="2"/>
  <c r="O11" i="2"/>
  <c r="N11" i="2"/>
  <c r="G11" i="2"/>
  <c r="F11" i="2"/>
  <c r="E11" i="2"/>
  <c r="C11" i="2"/>
  <c r="B11" i="2"/>
  <c r="R9" i="2"/>
  <c r="Q9" i="2"/>
  <c r="O9" i="2"/>
  <c r="N9" i="2"/>
  <c r="G9" i="2"/>
  <c r="F9" i="2"/>
  <c r="E9" i="2"/>
  <c r="C9" i="2"/>
  <c r="B9" i="2"/>
  <c r="R8" i="2"/>
  <c r="Q8" i="2"/>
  <c r="P8" i="2"/>
  <c r="O8" i="2"/>
  <c r="N8" i="2"/>
  <c r="G8" i="2"/>
  <c r="F8" i="2"/>
  <c r="E8" i="2"/>
  <c r="C8" i="2"/>
  <c r="B8" i="2"/>
  <c r="R7" i="2"/>
  <c r="Q7" i="2"/>
  <c r="O7" i="2"/>
  <c r="N7" i="2"/>
  <c r="G7" i="2"/>
  <c r="F7" i="2"/>
  <c r="E7" i="2"/>
  <c r="C7" i="2"/>
  <c r="B7" i="2"/>
  <c r="R6" i="2"/>
  <c r="Q6" i="2"/>
  <c r="P6" i="2"/>
  <c r="O6" i="2"/>
  <c r="N6" i="2"/>
  <c r="G6" i="2"/>
  <c r="F6" i="2"/>
  <c r="E6" i="2"/>
  <c r="C6" i="2"/>
  <c r="B6" i="2"/>
  <c r="R5" i="2"/>
  <c r="Q5" i="2"/>
  <c r="O5" i="2"/>
  <c r="N5" i="2"/>
  <c r="G5" i="2"/>
  <c r="F5" i="2"/>
  <c r="C5" i="2"/>
  <c r="B5" i="2"/>
  <c r="R4" i="2"/>
  <c r="Q4" i="2"/>
  <c r="O4" i="2"/>
  <c r="N4" i="2"/>
  <c r="G4" i="2"/>
  <c r="F4" i="2"/>
  <c r="E4" i="2"/>
  <c r="C4" i="2"/>
  <c r="B4" i="2"/>
  <c r="R3" i="2"/>
  <c r="Q3" i="2"/>
  <c r="P3" i="2"/>
  <c r="O3" i="2"/>
  <c r="N3" i="2"/>
  <c r="G3" i="2"/>
  <c r="F3" i="2"/>
  <c r="C3" i="2"/>
  <c r="B3" i="2"/>
  <c r="K61" i="2" l="1"/>
  <c r="H38" i="2"/>
  <c r="K31" i="2"/>
  <c r="K32" i="2" s="1"/>
  <c r="I10" i="5" s="1"/>
  <c r="S35" i="2"/>
  <c r="S51" i="2"/>
  <c r="S54" i="2"/>
  <c r="S57" i="2"/>
  <c r="S62" i="2"/>
  <c r="K65" i="2"/>
  <c r="K29" i="2"/>
  <c r="K48" i="2"/>
  <c r="S34" i="2"/>
  <c r="I49" i="2"/>
  <c r="H4" i="2"/>
  <c r="S13" i="2"/>
  <c r="H16" i="2"/>
  <c r="K19" i="2"/>
  <c r="S33" i="2"/>
  <c r="I46" i="2"/>
  <c r="S47" i="2"/>
  <c r="K53" i="2"/>
  <c r="K22" i="2"/>
  <c r="S28" i="2"/>
  <c r="J59" i="2"/>
  <c r="J6" i="2"/>
  <c r="G69" i="2"/>
  <c r="I20" i="2"/>
  <c r="K23" i="2"/>
  <c r="J43" i="2"/>
  <c r="S45" i="2"/>
  <c r="J47" i="2"/>
  <c r="S67" i="2"/>
  <c r="K57" i="2"/>
  <c r="S38" i="2"/>
  <c r="S65" i="2"/>
  <c r="S16" i="2"/>
  <c r="S22" i="2"/>
  <c r="S49" i="2"/>
  <c r="S53" i="2"/>
  <c r="K36" i="2"/>
  <c r="K55" i="2"/>
  <c r="K59" i="2"/>
  <c r="S7" i="2"/>
  <c r="S6" i="2"/>
  <c r="K8" i="2"/>
  <c r="K39" i="2"/>
  <c r="S40" i="2"/>
  <c r="K66" i="2"/>
  <c r="K14" i="2"/>
  <c r="S56" i="2"/>
  <c r="K28" i="2"/>
  <c r="S29" i="2"/>
  <c r="K33" i="2"/>
  <c r="J51" i="2"/>
  <c r="K54" i="2"/>
  <c r="I28" i="2"/>
  <c r="S20" i="2"/>
  <c r="S23" i="2"/>
  <c r="H26" i="2"/>
  <c r="H42" i="2"/>
  <c r="S66" i="2"/>
  <c r="S25" i="2"/>
  <c r="K35" i="2"/>
  <c r="K9" i="2"/>
  <c r="S11" i="2"/>
  <c r="S12" i="2" s="1"/>
  <c r="D9" i="5" s="1"/>
  <c r="K18" i="2"/>
  <c r="K37" i="2"/>
  <c r="K56" i="2"/>
  <c r="K60" i="2"/>
  <c r="K40" i="2"/>
  <c r="S4" i="2"/>
  <c r="S43" i="2"/>
  <c r="K21" i="2"/>
  <c r="K25" i="2"/>
  <c r="S26" i="2"/>
  <c r="K34" i="2"/>
  <c r="S42" i="2"/>
  <c r="H45" i="2"/>
  <c r="K67" i="2"/>
  <c r="K5" i="2"/>
  <c r="S46" i="2"/>
  <c r="I52" i="2"/>
  <c r="S3" i="2"/>
  <c r="K13" i="2"/>
  <c r="S14" i="2"/>
  <c r="S18" i="2"/>
  <c r="S60" i="2"/>
  <c r="S63" i="2"/>
  <c r="S9" i="2"/>
  <c r="S17" i="2"/>
  <c r="K62" i="2"/>
  <c r="I7" i="2"/>
  <c r="K11" i="2"/>
  <c r="K12" i="2" s="1"/>
  <c r="D10" i="5" s="1"/>
  <c r="S36" i="2"/>
  <c r="S55" i="2"/>
  <c r="K42" i="2"/>
  <c r="H65" i="2"/>
  <c r="H13" i="2"/>
  <c r="I13" i="2"/>
  <c r="J42" i="2"/>
  <c r="J13" i="2"/>
  <c r="I65" i="2"/>
  <c r="S8" i="2"/>
  <c r="H23" i="2"/>
  <c r="I45" i="2"/>
  <c r="S61" i="2"/>
  <c r="K45" i="2"/>
  <c r="I19" i="2"/>
  <c r="J48" i="2"/>
  <c r="I43" i="2"/>
  <c r="I42" i="2"/>
  <c r="K17" i="2"/>
  <c r="I17" i="2"/>
  <c r="J17" i="2"/>
  <c r="K63" i="2"/>
  <c r="H63" i="2"/>
  <c r="I63" i="2"/>
  <c r="H47" i="2"/>
  <c r="H46" i="2"/>
  <c r="K47" i="2"/>
  <c r="J46" i="2"/>
  <c r="K46" i="2"/>
  <c r="J45" i="2"/>
  <c r="I23" i="2"/>
  <c r="I59" i="2"/>
  <c r="K6" i="2"/>
  <c r="I6" i="2"/>
  <c r="H17" i="2"/>
  <c r="H18" i="2"/>
  <c r="I29" i="2"/>
  <c r="H34" i="2"/>
  <c r="I18" i="2"/>
  <c r="J34" i="2"/>
  <c r="J18" i="2"/>
  <c r="E70" i="2"/>
  <c r="I37" i="2"/>
  <c r="H57" i="2"/>
  <c r="I57" i="2"/>
  <c r="H14" i="2"/>
  <c r="I16" i="2"/>
  <c r="H35" i="2"/>
  <c r="I36" i="2"/>
  <c r="H52" i="2"/>
  <c r="J57" i="2"/>
  <c r="J63" i="2"/>
  <c r="J16" i="2"/>
  <c r="H36" i="2"/>
  <c r="K16" i="2"/>
  <c r="H29" i="2"/>
  <c r="I35" i="2"/>
  <c r="J36" i="2"/>
  <c r="H51" i="2"/>
  <c r="J52" i="2"/>
  <c r="S5" i="2"/>
  <c r="J7" i="2"/>
  <c r="J35" i="2"/>
  <c r="I51" i="2"/>
  <c r="K52" i="2"/>
  <c r="K7" i="2"/>
  <c r="S31" i="2"/>
  <c r="S32" i="2" s="1"/>
  <c r="I9" i="5" s="1"/>
  <c r="K51" i="2"/>
  <c r="J28" i="2"/>
  <c r="I34" i="2"/>
  <c r="I47" i="2"/>
  <c r="S21" i="2"/>
  <c r="S39" i="2"/>
  <c r="S19" i="2"/>
  <c r="S52" i="2"/>
  <c r="H8" i="2"/>
  <c r="H9" i="2"/>
  <c r="J33" i="2"/>
  <c r="S48" i="2"/>
  <c r="H33" i="2"/>
  <c r="I33" i="2"/>
  <c r="H7" i="2"/>
  <c r="I8" i="2"/>
  <c r="I9" i="2"/>
  <c r="H28" i="2"/>
  <c r="S37" i="2"/>
  <c r="S59" i="2"/>
  <c r="J9" i="2"/>
  <c r="J29" i="2"/>
  <c r="H54" i="2"/>
  <c r="I3" i="2"/>
  <c r="H53" i="2"/>
  <c r="I53" i="2"/>
  <c r="J23" i="2"/>
  <c r="H25" i="2"/>
  <c r="J53" i="2"/>
  <c r="J8" i="2"/>
  <c r="I48" i="2"/>
  <c r="G71" i="2"/>
  <c r="J19" i="2"/>
  <c r="I54" i="2"/>
  <c r="F70" i="2"/>
  <c r="G70" i="2"/>
  <c r="E71" i="2"/>
  <c r="H19" i="2"/>
  <c r="H37" i="2"/>
  <c r="H48" i="2"/>
  <c r="H59" i="2"/>
  <c r="F71" i="2"/>
  <c r="H43" i="2"/>
  <c r="I14" i="2"/>
  <c r="J37" i="2"/>
  <c r="H49" i="2"/>
  <c r="H60" i="2"/>
  <c r="J3" i="2"/>
  <c r="J14" i="2"/>
  <c r="J25" i="2"/>
  <c r="J54" i="2"/>
  <c r="J65" i="2"/>
  <c r="H66" i="2"/>
  <c r="K3" i="2"/>
  <c r="I4" i="2"/>
  <c r="J20" i="2"/>
  <c r="H21" i="2"/>
  <c r="I26" i="2"/>
  <c r="J38" i="2"/>
  <c r="H39" i="2"/>
  <c r="K43" i="2"/>
  <c r="J49" i="2"/>
  <c r="I55" i="2"/>
  <c r="J60" i="2"/>
  <c r="H61" i="2"/>
  <c r="I66" i="2"/>
  <c r="I25" i="2"/>
  <c r="H55" i="2"/>
  <c r="I60" i="2"/>
  <c r="J4" i="2"/>
  <c r="H5" i="2"/>
  <c r="K20" i="2"/>
  <c r="I21" i="2"/>
  <c r="J26" i="2"/>
  <c r="H31" i="2"/>
  <c r="H32" i="2" s="1"/>
  <c r="I6" i="5" s="1"/>
  <c r="K38" i="2"/>
  <c r="I39" i="2"/>
  <c r="K49" i="2"/>
  <c r="J55" i="2"/>
  <c r="H56" i="2"/>
  <c r="I61" i="2"/>
  <c r="J66" i="2"/>
  <c r="H67" i="2"/>
  <c r="H20" i="2"/>
  <c r="K4" i="2"/>
  <c r="J21" i="2"/>
  <c r="H22" i="2"/>
  <c r="K26" i="2"/>
  <c r="I31" i="2"/>
  <c r="J39" i="2"/>
  <c r="H40" i="2"/>
  <c r="I56" i="2"/>
  <c r="J61" i="2"/>
  <c r="H62" i="2"/>
  <c r="I67" i="2"/>
  <c r="I38" i="2"/>
  <c r="I5" i="2"/>
  <c r="H11" i="2"/>
  <c r="H12" i="2" s="1"/>
  <c r="D6" i="5" s="1"/>
  <c r="J5" i="2"/>
  <c r="H6" i="2"/>
  <c r="I11" i="2"/>
  <c r="I22" i="2"/>
  <c r="J31" i="2"/>
  <c r="J32" i="2" s="1"/>
  <c r="I8" i="5" s="1"/>
  <c r="I40" i="2"/>
  <c r="J56" i="2"/>
  <c r="I62" i="2"/>
  <c r="J67" i="2"/>
  <c r="E69" i="2"/>
  <c r="H3" i="2"/>
  <c r="J11" i="2"/>
  <c r="J12" i="2" s="1"/>
  <c r="D8" i="5" s="1"/>
  <c r="J22" i="2"/>
  <c r="J40" i="2"/>
  <c r="J62" i="2"/>
  <c r="F69" i="2"/>
  <c r="L13" i="2" l="1"/>
  <c r="S15" i="2"/>
  <c r="E9" i="5" s="1"/>
  <c r="G72" i="2"/>
  <c r="G74" i="2" s="1"/>
  <c r="G75" i="2" s="1"/>
  <c r="F72" i="2"/>
  <c r="F74" i="2" s="1"/>
  <c r="F75" i="2" s="1"/>
  <c r="K30" i="2"/>
  <c r="H10" i="5" s="1"/>
  <c r="J44" i="2"/>
  <c r="K8" i="5" s="1"/>
  <c r="S44" i="2"/>
  <c r="K9" i="5" s="1"/>
  <c r="S30" i="2"/>
  <c r="H9" i="5" s="1"/>
  <c r="I30" i="2"/>
  <c r="H7" i="5" s="1"/>
  <c r="K27" i="2"/>
  <c r="G10" i="5" s="1"/>
  <c r="K68" i="2"/>
  <c r="O10" i="5" s="1"/>
  <c r="H27" i="2"/>
  <c r="G6" i="5" s="1"/>
  <c r="S68" i="2"/>
  <c r="O9" i="5" s="1"/>
  <c r="L65" i="2"/>
  <c r="S58" i="2"/>
  <c r="M9" i="5" s="1"/>
  <c r="K15" i="2"/>
  <c r="E10" i="5" s="1"/>
  <c r="L22" i="2"/>
  <c r="S24" i="2"/>
  <c r="F9" i="5" s="1"/>
  <c r="I44" i="2"/>
  <c r="K7" i="5" s="1"/>
  <c r="S50" i="2"/>
  <c r="L9" i="5" s="1"/>
  <c r="L29" i="2"/>
  <c r="S27" i="2"/>
  <c r="G9" i="5" s="1"/>
  <c r="K41" i="2"/>
  <c r="J10" i="5" s="1"/>
  <c r="L46" i="2"/>
  <c r="K44" i="2"/>
  <c r="K10" i="5" s="1"/>
  <c r="L42" i="2"/>
  <c r="K58" i="2"/>
  <c r="M10" i="5" s="1"/>
  <c r="H44" i="2"/>
  <c r="K6" i="5" s="1"/>
  <c r="K64" i="2"/>
  <c r="N10" i="5" s="1"/>
  <c r="S10" i="2"/>
  <c r="C9" i="5" s="1"/>
  <c r="L20" i="2"/>
  <c r="H15" i="2"/>
  <c r="E6" i="5" s="1"/>
  <c r="J15" i="2"/>
  <c r="E8" i="5" s="1"/>
  <c r="E72" i="2"/>
  <c r="E74" i="2" s="1"/>
  <c r="E75" i="2" s="1"/>
  <c r="L45" i="2"/>
  <c r="L18" i="2"/>
  <c r="L66" i="2"/>
  <c r="L47" i="2"/>
  <c r="L17" i="2"/>
  <c r="L59" i="2"/>
  <c r="L23" i="2"/>
  <c r="I50" i="2"/>
  <c r="L7" i="5" s="1"/>
  <c r="L57" i="2"/>
  <c r="L62" i="2"/>
  <c r="K50" i="2"/>
  <c r="L10" i="5" s="1"/>
  <c r="J27" i="2"/>
  <c r="G8" i="5" s="1"/>
  <c r="S64" i="2"/>
  <c r="N9" i="5" s="1"/>
  <c r="H24" i="2"/>
  <c r="F6" i="5" s="1"/>
  <c r="L39" i="2"/>
  <c r="L63" i="2"/>
  <c r="S41" i="2"/>
  <c r="J9" i="5" s="1"/>
  <c r="L6" i="2"/>
  <c r="K24" i="2"/>
  <c r="F10" i="5" s="1"/>
  <c r="H30" i="2"/>
  <c r="H6" i="5" s="1"/>
  <c r="L51" i="2"/>
  <c r="L52" i="2"/>
  <c r="L36" i="2"/>
  <c r="J30" i="2"/>
  <c r="H8" i="5" s="1"/>
  <c r="J50" i="2"/>
  <c r="L8" i="5" s="1"/>
  <c r="L60" i="2"/>
  <c r="L7" i="2"/>
  <c r="L16" i="2"/>
  <c r="L37" i="2"/>
  <c r="L34" i="2"/>
  <c r="J58" i="2"/>
  <c r="M8" i="5" s="1"/>
  <c r="L35" i="2"/>
  <c r="I58" i="2"/>
  <c r="M7" i="5" s="1"/>
  <c r="L19" i="2"/>
  <c r="L8" i="2"/>
  <c r="J64" i="2"/>
  <c r="N8" i="5" s="1"/>
  <c r="L40" i="2"/>
  <c r="I24" i="2"/>
  <c r="F7" i="5" s="1"/>
  <c r="H41" i="2"/>
  <c r="J6" i="5" s="1"/>
  <c r="L54" i="2"/>
  <c r="L26" i="2"/>
  <c r="J41" i="2"/>
  <c r="J8" i="5" s="1"/>
  <c r="J24" i="2"/>
  <c r="F8" i="5" s="1"/>
  <c r="L9" i="2"/>
  <c r="H58" i="2"/>
  <c r="M6" i="5" s="1"/>
  <c r="L28" i="2"/>
  <c r="L49" i="2"/>
  <c r="L5" i="2"/>
  <c r="H68" i="2"/>
  <c r="O6" i="5" s="1"/>
  <c r="L38" i="2"/>
  <c r="H10" i="2"/>
  <c r="C6" i="5" s="1"/>
  <c r="L61" i="2"/>
  <c r="L4" i="2"/>
  <c r="L53" i="2"/>
  <c r="K10" i="2"/>
  <c r="C10" i="5" s="1"/>
  <c r="L33" i="2"/>
  <c r="I41" i="2"/>
  <c r="J7" i="5" s="1"/>
  <c r="H50" i="2"/>
  <c r="L6" i="5" s="1"/>
  <c r="L67" i="2"/>
  <c r="L56" i="2"/>
  <c r="I10" i="2"/>
  <c r="C7" i="5" s="1"/>
  <c r="L43" i="2"/>
  <c r="L31" i="2"/>
  <c r="I32" i="2"/>
  <c r="I7" i="5" s="1"/>
  <c r="H64" i="2"/>
  <c r="N6" i="5" s="1"/>
  <c r="L3" i="2"/>
  <c r="L14" i="2"/>
  <c r="I15" i="2"/>
  <c r="E7" i="5" s="1"/>
  <c r="J68" i="2"/>
  <c r="O8" i="5" s="1"/>
  <c r="I64" i="2"/>
  <c r="N7" i="5" s="1"/>
  <c r="L11" i="2"/>
  <c r="I12" i="2"/>
  <c r="D7" i="5" s="1"/>
  <c r="L55" i="2"/>
  <c r="L48" i="2"/>
  <c r="I68" i="2"/>
  <c r="O7" i="5" s="1"/>
  <c r="L21" i="2"/>
  <c r="I27" i="2"/>
  <c r="G7" i="5" s="1"/>
  <c r="L25" i="2"/>
  <c r="J10" i="2"/>
  <c r="C8" i="5" s="1"/>
  <c r="Q9" i="5" l="1"/>
  <c r="Q10" i="5"/>
  <c r="B18" i="5" s="1"/>
  <c r="Q8" i="5"/>
  <c r="Q6" i="5"/>
  <c r="Q7" i="5"/>
  <c r="B15" i="5" l="1"/>
  <c r="B20" i="5" s="1"/>
  <c r="B21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Steven Ferreira</author>
  </authors>
  <commentList>
    <comment ref="C7" authorId="0" shapeId="0" xr:uid="{B1477566-E613-4C9D-89A2-CDE870D44054}">
      <text>
        <r>
          <rPr>
            <sz val="9"/>
            <color indexed="81"/>
            <rFont val="Tahoma"/>
            <family val="2"/>
          </rPr>
          <t>Steven Ferreira: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1) Repérer</t>
        </r>
        <r>
          <rPr>
            <sz val="9"/>
            <color indexed="81"/>
            <rFont val="Tahoma"/>
            <family val="2"/>
          </rPr>
          <t xml:space="preserve">
• Images informatives complexes : graphiques, schémas, infographies (&lt;img&gt;, &lt;object&gt;, &lt;embed&gt;, &lt;input type="image"&gt;, &lt;svg&gt;, &lt;canvas&gt;, role="img").
</t>
        </r>
        <r>
          <rPr>
            <b/>
            <sz val="9"/>
            <color indexed="81"/>
            <rFont val="Tahoma"/>
            <family val="2"/>
          </rPr>
          <t>2) Vérifier</t>
        </r>
        <r>
          <rPr>
            <sz val="9"/>
            <color indexed="81"/>
            <rFont val="Tahoma"/>
            <family val="2"/>
          </rPr>
          <t xml:space="preserve">
• Une description détaillée est accessible par :
• Attribut longdesc (ancien mais encore accepté).
• Texte alternatif qui mentionne une description adjacente.
• Lien ou bouton adjacent menant à la description.
• Attributs ARIA (aria-label, aria-labelledby, aria-describedby) reliant l’image à la description.
• Contenu textuel directement présent (ex. dans &lt;canvas&gt; ou via &lt;figcaption&gt;).
</t>
        </r>
        <r>
          <rPr>
            <b/>
            <sz val="9"/>
            <color indexed="81"/>
            <rFont val="Tahoma"/>
            <family val="2"/>
          </rPr>
          <t xml:space="preserve">
3) Validation</t>
        </r>
        <r>
          <rPr>
            <sz val="9"/>
            <color indexed="81"/>
            <rFont val="Tahoma"/>
            <family val="2"/>
          </rPr>
          <t xml:space="preserve">
• ✅ Si la description permet d’obtenir les mêmes infos que l’image → test validé.
• ❌ Si la description est absente, incomplète ou non restituée par les lecteurs d’écran → test échoué.</t>
        </r>
      </text>
    </comment>
    <comment ref="C10" authorId="0" shapeId="0" xr:uid="{D006F537-803A-4999-B708-8609D44577B3}">
      <text>
        <r>
          <rPr>
            <b/>
            <sz val="9"/>
            <color indexed="81"/>
            <rFont val="Tahoma"/>
            <family val="2"/>
          </rPr>
          <t>Steven Ferreira: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1) Repérer</t>
        </r>
        <r>
          <rPr>
            <sz val="9"/>
            <color indexed="81"/>
            <rFont val="Tahoma"/>
            <family val="2"/>
          </rPr>
          <t xml:space="preserve">
• Tous les cas où la couleur seule transmet une information :
• Texte coloré (ex. “les erreurs sont en rouge”).
• Indications de couleur dans une phrase (“les champs verts sont valides”).
• Images où la couleur seule différencie des éléments (graphique, plan, schéma).
• Propriétés CSS (color, background-color) servant à transmettre une info.
• Médias temporels (vidéo) ou non temporels (image, schéma) qui utilisent uniquement la couleur.
</t>
        </r>
        <r>
          <rPr>
            <b/>
            <sz val="9"/>
            <color indexed="81"/>
            <rFont val="Tahoma"/>
            <family val="2"/>
          </rPr>
          <t>2) Vérifier</t>
        </r>
        <r>
          <rPr>
            <sz val="9"/>
            <color indexed="81"/>
            <rFont val="Tahoma"/>
            <family val="2"/>
          </rPr>
          <t xml:space="preserve">
• L’information doit aussi être donnée par un autre moyen :
• Texte (attribut title, label clair, légende).
• Forme ou position.
• Icône ou symbole.
• Effet typographique (gras, souligné, etc.).
</t>
        </r>
        <r>
          <rPr>
            <b/>
            <sz val="9"/>
            <color indexed="81"/>
            <rFont val="Tahoma"/>
            <family val="2"/>
          </rPr>
          <t>3) Validation</t>
        </r>
        <r>
          <rPr>
            <sz val="9"/>
            <color indexed="81"/>
            <rFont val="Tahoma"/>
            <family val="2"/>
          </rPr>
          <t xml:space="preserve">
• ✅ Si toutes les infos données par couleur ont une alternative visuelle ou textuelle → test validé.
• ❌ Si une information repose uniquement sur la couleur → test échoué.</t>
        </r>
      </text>
    </comment>
    <comment ref="C16" authorId="0" shapeId="0" xr:uid="{71C23674-4862-4A54-B504-8436096B8792}">
      <text>
        <r>
          <rPr>
            <b/>
            <sz val="9"/>
            <color indexed="81"/>
            <rFont val="Tahoma"/>
            <family val="2"/>
          </rPr>
          <t>Steven Ferreira: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1) Repérer les médias non temporels :</t>
        </r>
        <r>
          <rPr>
            <sz val="9"/>
            <color indexed="81"/>
            <rFont val="Tahoma"/>
            <family val="2"/>
          </rPr>
          <t xml:space="preserve">
• Images fixes (&lt;img&gt;).
• Graphiques, schémas, infographies, </t>
        </r>
        <r>
          <rPr>
            <b/>
            <sz val="9"/>
            <color indexed="81"/>
            <rFont val="Tahoma"/>
            <family val="2"/>
          </rPr>
          <t>images dans des cartes</t>
        </r>
        <r>
          <rPr>
            <sz val="9"/>
            <color indexed="81"/>
            <rFont val="Tahoma"/>
            <family val="2"/>
          </rPr>
          <t xml:space="preserve">.
• Toute ressource visuelle qui n’est pas une vidéo ou un son.
</t>
        </r>
        <r>
          <rPr>
            <b/>
            <sz val="9"/>
            <color indexed="81"/>
            <rFont val="Tahoma"/>
            <family val="2"/>
          </rPr>
          <t>2) Vérifier la présence d’une alternative (Test 4.8.1) :</t>
        </r>
        <r>
          <rPr>
            <sz val="9"/>
            <color indexed="81"/>
            <rFont val="Tahoma"/>
            <family val="2"/>
          </rPr>
          <t xml:space="preserve">
• Un lien ou bouton adjacent clairement identifiable permet d’accéder à une page contenant une alternative.
• OU un lien ou bouton adjacent clairement identifiable permet d’accéder à une alternative dans la même page.
</t>
        </r>
        <r>
          <rPr>
            <b/>
            <sz val="9"/>
            <color indexed="81"/>
            <rFont val="Tahoma"/>
            <family val="2"/>
          </rPr>
          <t>3) Vérifier l’accessibilité de l’alternative (Test 4.8.2) :</t>
        </r>
        <r>
          <rPr>
            <sz val="9"/>
            <color indexed="81"/>
            <rFont val="Tahoma"/>
            <family val="2"/>
          </rPr>
          <t xml:space="preserve">
• La page référencée par le lien ou bouton adjacent est accessible.
• OU l’alternative dans la page, référencée par le lien ou bouton adjacent, est accessible.
</t>
        </r>
        <r>
          <rPr>
            <b/>
            <sz val="9"/>
            <color indexed="81"/>
            <rFont val="Tahoma"/>
            <family val="2"/>
          </rPr>
          <t>4) Cas particuliers (non applicable) :</t>
        </r>
        <r>
          <rPr>
            <sz val="9"/>
            <color indexed="81"/>
            <rFont val="Tahoma"/>
            <family val="2"/>
          </rPr>
          <t xml:space="preserve">
• Si le média non temporel est purement décoratif (aucune information).
• Si le média est diffusé dans un environnement maîtrisé.
• Si le média est inséré via JavaScript en remplacement d’un contenu alternatif déjà présent.
</t>
        </r>
        <r>
          <rPr>
            <b/>
            <sz val="9"/>
            <color indexed="81"/>
            <rFont val="Tahoma"/>
            <family val="2"/>
          </rPr>
          <t>5) Validation du test :</t>
        </r>
        <r>
          <rPr>
            <sz val="9"/>
            <color indexed="81"/>
            <rFont val="Tahoma"/>
            <family val="2"/>
          </rPr>
          <t xml:space="preserve">
• ✅ Si chaque média non temporel a bien une alternative accessible, le test est validé.
• ❌ Si un média informatif n’a aucune alternative disponible ou accessible, le test échoue.</t>
        </r>
      </text>
    </comment>
    <comment ref="C17" authorId="0" shapeId="0" xr:uid="{0E373DFB-6EFD-458B-AEFA-C34D1ECB82F8}">
      <text>
        <r>
          <rPr>
            <b/>
            <sz val="9"/>
            <color indexed="81"/>
            <rFont val="Tahoma"/>
            <family val="2"/>
          </rPr>
          <t>Steven Ferreira: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1) Repérer les médias non temporels avec alternative :</t>
        </r>
        <r>
          <rPr>
            <sz val="9"/>
            <color indexed="81"/>
            <rFont val="Tahoma"/>
            <family val="2"/>
          </rPr>
          <t xml:space="preserve">
• Images fixes (&lt;img&gt;).
• Graphiques, schémas, infographies.
• Tout contenu visuel non temporel pour lequel une alternative existe (texte, page dédiée, description, etc.).
</t>
        </r>
        <r>
          <rPr>
            <b/>
            <sz val="9"/>
            <color indexed="81"/>
            <rFont val="Tahoma"/>
            <family val="2"/>
          </rPr>
          <t xml:space="preserve">
2) Vérifier la pertinence de l’alternative (Test 4.9.1) :</t>
        </r>
        <r>
          <rPr>
            <sz val="9"/>
            <color indexed="81"/>
            <rFont val="Tahoma"/>
            <family val="2"/>
          </rPr>
          <t xml:space="preserve">
• L’alternative doit donner accès au même contenu.
• L’alternative doit offrir des fonctionnalités similaires (ex. un graphique → un tableau de données équivalent).
</t>
        </r>
        <r>
          <rPr>
            <b/>
            <sz val="9"/>
            <color indexed="81"/>
            <rFont val="Tahoma"/>
            <family val="2"/>
          </rPr>
          <t>3) Validation du test :</t>
        </r>
        <r>
          <rPr>
            <sz val="9"/>
            <color indexed="81"/>
            <rFont val="Tahoma"/>
            <family val="2"/>
          </rPr>
          <t xml:space="preserve">
• ✅ Si toutes les alternatives permettent d’obtenir le même contenu et les mêmes fonctionnalités → test validé.
• ❌ Si une alternative est incomplète ou ne reflète pas l’information donnée par le média → test échoué.</t>
        </r>
      </text>
    </comment>
    <comment ref="C22" authorId="0" shapeId="0" xr:uid="{8FCCB867-E8F9-4226-86AF-DC3DC6C610E2}">
      <text>
        <r>
          <rPr>
            <b/>
            <sz val="9"/>
            <color indexed="81"/>
            <rFont val="Tahoma"/>
            <family val="2"/>
          </rPr>
          <t>Steven Ferreira: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1) Repérer</t>
        </r>
        <r>
          <rPr>
            <sz val="9"/>
            <color indexed="81"/>
            <rFont val="Tahoma"/>
            <family val="2"/>
          </rPr>
          <t xml:space="preserve">
• Tous les types de liens :
• Liens texte.
• Liens image (&lt;img&gt;, &lt;area&gt;, &lt;object&gt;, &lt;canvas&gt;, &lt;svg&gt;).
• Liens composites (texte + image).
• Liens SVG (&lt;svg&gt;&lt;a href=...&gt;).
</t>
        </r>
        <r>
          <rPr>
            <b/>
            <sz val="9"/>
            <color indexed="81"/>
            <rFont val="Tahoma"/>
            <family val="2"/>
          </rPr>
          <t>2) Vérifier</t>
        </r>
        <r>
          <rPr>
            <sz val="9"/>
            <color indexed="81"/>
            <rFont val="Tahoma"/>
            <family val="2"/>
          </rPr>
          <t xml:space="preserve">
• L’intitulé du lien (seul ou avec son contexte) permet de comprendre :
• Sa fonction (ce qu’il fait).
• Sa destination (où il mène).
• Pour les liens image → l’alternative textuelle fournit l’intitulé.
• Pour les liens composites → le texte + l’alternative de l’image forment l’intitulé.
• Pour les liens SVG → le nom accessible est issu du contenu &lt;text&gt;, &lt;title&gt; ou ARIA.
• Si un lien a un intitulé visible + un attribut (title, aria-label, aria-labelledby) → le nom accessible doit contenir au moins l’intitulé visible.
</t>
        </r>
        <r>
          <rPr>
            <b/>
            <sz val="9"/>
            <color indexed="81"/>
            <rFont val="Tahoma"/>
            <family val="2"/>
          </rPr>
          <t>3) Validation</t>
        </r>
        <r>
          <rPr>
            <sz val="9"/>
            <color indexed="81"/>
            <rFont val="Tahoma"/>
            <family val="2"/>
          </rPr>
          <t xml:space="preserve">
• ✅ Si chaque lien est compréhensible seul ou avec son contexte, le test est validé.
• ❌ Si un lien est ambigu (ex. “cliquez ici”, icône sans alternative, symbole sans explication) → test échoué.</t>
        </r>
      </text>
    </comment>
    <comment ref="C23" authorId="0" shapeId="0" xr:uid="{8FC69353-F71F-4258-A559-946030BB22E3}">
      <text>
        <r>
          <rPr>
            <b/>
            <sz val="9"/>
            <color indexed="81"/>
            <rFont val="Tahoma"/>
            <family val="2"/>
          </rPr>
          <t>Steven Ferreira: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1) Repérer</t>
        </r>
        <r>
          <rPr>
            <sz val="9"/>
            <color indexed="81"/>
            <rFont val="Tahoma"/>
            <family val="2"/>
          </rPr>
          <t xml:space="preserve">
Retrouver tous les liens de la page :
les éléments &lt;a&gt; ayant un attribut href,
les éléments pourvus d’un attribut role="link",
les zones cliquables &lt;area&gt; liées à une image.
</t>
        </r>
        <r>
          <rPr>
            <b/>
            <sz val="9"/>
            <color indexed="81"/>
            <rFont val="Tahoma"/>
            <family val="2"/>
          </rPr>
          <t>2) Vérifier</t>
        </r>
        <r>
          <rPr>
            <sz val="9"/>
            <color indexed="81"/>
            <rFont val="Tahoma"/>
            <family val="2"/>
          </rPr>
          <t xml:space="preserve">
Pour chaque lien repéré, contrôler que :
entre &lt;a&gt; et &lt;/a&gt; il existe un intitulé (texte visible, image avec alt, contenu accessible via aria-label ou aria-labelledby),
cet intitulé n’est pas vide, ni réduit à des caractères décoratifs (par ex. … ou icône sans alternative).
👉 L’inspecteur d’accessibilité (onglet </t>
        </r>
        <r>
          <rPr>
            <b/>
            <sz val="9"/>
            <color indexed="81"/>
            <rFont val="Tahoma"/>
            <family val="2"/>
          </rPr>
          <t>Accessibility de Firefox</t>
        </r>
        <r>
          <rPr>
            <sz val="9"/>
            <color indexed="81"/>
            <rFont val="Tahoma"/>
            <family val="2"/>
          </rPr>
          <t xml:space="preserve">) doit afficher un Name non vide pour le lien.
</t>
        </r>
        <r>
          <rPr>
            <b/>
            <sz val="9"/>
            <color indexed="81"/>
            <rFont val="Tahoma"/>
            <family val="2"/>
          </rPr>
          <t>3) Validation</t>
        </r>
        <r>
          <rPr>
            <sz val="9"/>
            <color indexed="81"/>
            <rFont val="Tahoma"/>
            <family val="2"/>
          </rPr>
          <t xml:space="preserve">
Si chaque lien possède un intitulé valide et non vide → test validé.
Si un ou plusieurs liens n’ont aucun intitulé (contenu vide, image sans alt, icône seule sans texte alternatif) → non conforme.</t>
        </r>
      </text>
    </comment>
    <comment ref="C36" authorId="0" shapeId="0" xr:uid="{E6B56BC9-82C4-4501-AC83-7CE370C57913}">
      <text>
        <r>
          <rPr>
            <b/>
            <sz val="9"/>
            <color indexed="81"/>
            <rFont val="Tahoma"/>
            <family val="2"/>
          </rPr>
          <t>Steven Ferreira:</t>
        </r>
        <r>
          <rPr>
            <sz val="9"/>
            <color indexed="81"/>
            <rFont val="Tahoma"/>
            <family val="2"/>
          </rPr>
          <t xml:space="preserve">
Conseil pratique : Les outils comme </t>
        </r>
        <r>
          <rPr>
            <b/>
            <sz val="9"/>
            <color indexed="81"/>
            <rFont val="Tahoma"/>
            <family val="2"/>
          </rPr>
          <t xml:space="preserve">axe DevTools </t>
        </r>
        <r>
          <rPr>
            <sz val="9"/>
            <color indexed="81"/>
            <rFont val="Tahoma"/>
            <family val="2"/>
          </rPr>
          <t xml:space="preserve">détectent automatiquement les erreurs courantes liées à aria-hidden="true" (par exemple quand un élément caché contient un bouton ou un lien focusable). Vérifie toujours ces alertes, car elles révèlent une non-conformité typique du critère 10.8.
</t>
        </r>
        <r>
          <rPr>
            <b/>
            <sz val="9"/>
            <color indexed="81"/>
            <rFont val="Tahoma"/>
            <family val="2"/>
          </rPr>
          <t>1) Repérer</t>
        </r>
        <r>
          <rPr>
            <sz val="9"/>
            <color indexed="81"/>
            <rFont val="Tahoma"/>
            <family val="2"/>
          </rPr>
          <t xml:space="preserve">
• Tous les contenus cachés via :
• Attribut hidden.
• Attribut aria-hidden.
• CSS (display:none, visibility:hidden, etc.).
</t>
        </r>
        <r>
          <rPr>
            <b/>
            <sz val="9"/>
            <color indexed="81"/>
            <rFont val="Tahoma"/>
            <family val="2"/>
          </rPr>
          <t xml:space="preserve">
2) Vérifier</t>
        </r>
        <r>
          <rPr>
            <sz val="9"/>
            <color indexed="81"/>
            <rFont val="Tahoma"/>
            <family val="2"/>
          </rPr>
          <t xml:space="preserve">
• Si le contenu est réellement décoratif/technique, il doit être ignoré par les technologies d’assistance.
• Si le contenu doit être utile à l’utilisateur, il doit être restitué :
• Après une action au clavier ou à la souris sur un élément qui le déclenche.
• OU après un repositionnement du focus programmé dessus.
</t>
        </r>
        <r>
          <rPr>
            <b/>
            <sz val="9"/>
            <color indexed="81"/>
            <rFont val="Tahoma"/>
            <family val="2"/>
          </rPr>
          <t>3) Validation</t>
        </r>
        <r>
          <rPr>
            <sz val="9"/>
            <color indexed="81"/>
            <rFont val="Tahoma"/>
            <family val="2"/>
          </rPr>
          <t xml:space="preserve">
• ✅ Si chaque contenu caché est correctement ignoré ou restitué → test validé.
• ❌ Si un contenu utile reste inaccessible aux technologies d’assistance → test échoué.</t>
        </r>
      </text>
    </comment>
    <comment ref="C37" authorId="0" shapeId="0" xr:uid="{390AFA9D-5475-4937-A3D0-F8D8EE56DABA}">
      <text>
        <r>
          <rPr>
            <b/>
            <sz val="9"/>
            <color indexed="81"/>
            <rFont val="Tahoma"/>
            <family val="2"/>
          </rPr>
          <t xml:space="preserve">1) Repérer
</t>
        </r>
        <r>
          <rPr>
            <sz val="9"/>
            <color indexed="81"/>
            <rFont val="Tahoma"/>
            <family val="2"/>
          </rPr>
          <t>Identifier dans la page :</t>
        </r>
        <r>
          <rPr>
            <b/>
            <sz val="9"/>
            <color indexed="81"/>
            <rFont val="Tahoma"/>
            <family val="2"/>
          </rPr>
          <t xml:space="preserve">
-</t>
        </r>
        <r>
          <rPr>
            <sz val="9"/>
            <color indexed="81"/>
            <rFont val="Tahoma"/>
            <family val="2"/>
          </rPr>
          <t>Textes mis en valeur uniquement par couleur, forme ou taille.
- Informations données par la position : « voir colonne de droite », « bouton en haut », etc.
- Graphiques où seules les formes ou couleurs distinguent les éléments.
- Médias (vidéo, audio, image, infographie) où une différence repose uniquement sur la présentation visuelle.</t>
        </r>
        <r>
          <rPr>
            <b/>
            <sz val="9"/>
            <color indexed="81"/>
            <rFont val="Tahoma"/>
            <family val="2"/>
          </rPr>
          <t xml:space="preserve">
2) Vérifier
</t>
        </r>
        <r>
          <rPr>
            <sz val="9"/>
            <color indexed="81"/>
            <rFont val="Tahoma"/>
            <family val="2"/>
          </rPr>
          <t>- Demander : si j’enlève la couleur, la forme, la taille ou la position, est-ce que l’information reste compréhensible ?
- Chercher un équivalent textuel ou symbolique clair.</t>
        </r>
        <r>
          <rPr>
            <b/>
            <sz val="9"/>
            <color indexed="81"/>
            <rFont val="Tahoma"/>
            <family val="2"/>
          </rPr>
          <t xml:space="preserve">
3) Validation
</t>
        </r>
        <r>
          <rPr>
            <sz val="9"/>
            <color indexed="81"/>
            <rFont val="Tahoma"/>
            <family val="2"/>
          </rPr>
          <t>- ✅ Conforme : l’information est disponible autrement (texte, légende, icône, label, description).
- ❌ Non conforme : l’information repose uniquement sur un indice visuel (taille, couleur, emplacement).</t>
        </r>
        <r>
          <rPr>
            <b/>
            <sz val="9"/>
            <color indexed="81"/>
            <rFont val="Tahoma"/>
            <family val="2"/>
          </rPr>
          <t xml:space="preserve">
Exemples:
</t>
        </r>
        <r>
          <rPr>
            <sz val="9"/>
            <color indexed="81"/>
            <rFont val="Tahoma"/>
            <family val="2"/>
          </rPr>
          <t>- Erreur (texte) : « Les champs obligatoires sont en rouge » → repose uniquement sur la couleur.
- Correct (texte) : « Les champs obligatoires sont indiqués par une étoile (*) » + mention textuelle « champ obligatoire ».
- Erreur (image) : un plan où seule la couleur distingue les zones.
- Correct (image) : plan avec couleurs + légendes textuelles (« Zone A – Entrée visiteurs », « Zone B – Parking »).
- Erreur (média) : une vidéo où on dit seulement « cliquez sur le carré » sans autre explication.
- Correct (média) : la vidéo indique « cliquez sur le carré bleu avec l’étiquette Valider ».</t>
        </r>
      </text>
    </comment>
    <comment ref="C38" authorId="0" shapeId="0" xr:uid="{804DD2BE-A79A-49F9-8759-F6BC0BD79069}">
      <text>
        <r>
          <rPr>
            <b/>
            <sz val="9"/>
            <color indexed="81"/>
            <rFont val="Tahoma"/>
            <family val="2"/>
          </rPr>
          <t>Steven Ferreira: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1) Repérer</t>
        </r>
        <r>
          <rPr>
            <sz val="9"/>
            <color indexed="81"/>
            <rFont val="Tahoma"/>
            <family val="2"/>
          </rPr>
          <t xml:space="preserve">
Reprendre les mêmes cas que pour 10.9, mais se concentrer sur les alternatives déjà mises en place (texte, icône, légende, description).
</t>
        </r>
        <r>
          <rPr>
            <b/>
            <sz val="9"/>
            <color indexed="81"/>
            <rFont val="Tahoma"/>
            <family val="2"/>
          </rPr>
          <t>2) Vérifier</t>
        </r>
        <r>
          <rPr>
            <sz val="9"/>
            <color indexed="81"/>
            <rFont val="Tahoma"/>
            <family val="2"/>
          </rPr>
          <t xml:space="preserve">
- L’alternative est-elle pertinente et compréhensible pour tous les utilisateurs et tous les contextes (lecteur d’écran, impression N&amp;B, basse vision, etc.) ?
- Vérifier que la légende ou l’annotation donne bien l’info sans ambiguïté.
</t>
        </r>
        <r>
          <rPr>
            <b/>
            <sz val="9"/>
            <color indexed="81"/>
            <rFont val="Tahoma"/>
            <family val="2"/>
          </rPr>
          <t>3) Validation</t>
        </r>
        <r>
          <rPr>
            <sz val="9"/>
            <color indexed="81"/>
            <rFont val="Tahoma"/>
            <family val="2"/>
          </rPr>
          <t xml:space="preserve">
- ✅ Conforme : l’alternative transmet réellement la même information que la forme/taille/position.
- ❌ Non conforme : l’alternative existe mais est insuffisante, ambiguë, ou ne s’applique pas dans tous les contextes.
</t>
        </r>
        <r>
          <rPr>
            <b/>
            <sz val="9"/>
            <color indexed="81"/>
            <rFont val="Tahoma"/>
            <family val="2"/>
          </rPr>
          <t>Exemples:</t>
        </r>
        <r>
          <rPr>
            <sz val="9"/>
            <color indexed="81"/>
            <rFont val="Tahoma"/>
            <family val="2"/>
          </rPr>
          <t xml:space="preserve">
- Erreur (texte) : champs obligatoires signalés par une étoile, mais sans explication → un lecteur d’écran va lire « étoile », ce qui n’est pas clair.
- Correct (texte) : étoile + mention textuelle « champ obligatoire ».
- Erreur (image) : un graphique avec des couleurs + une légende « en bleu = hommes, en vert = femmes » → si l’impression est en N&amp;B, l’info est perdue.
- Correct (image) : graphique avec couleurs + motifs distinctifs (hachures, cercles) et légende textuelle claire.
- Erreur (média temporel) : une vidéo avec sous-titres « [musique dramatique] » pour indiquer une tension → pas assez pertinent si l’émotion est essentielle au scénario.
- Correct (média temporel) : sous-titres détaillant l’action (« Bruit de tonnerre – un personnage sursaute »).</t>
        </r>
      </text>
    </comment>
    <comment ref="C39" authorId="0" shapeId="0" xr:uid="{30FF2B00-90C8-4258-85AE-ADA642EE9699}">
      <text>
        <r>
          <rPr>
            <b/>
            <sz val="9"/>
            <color indexed="81"/>
            <rFont val="Tahoma"/>
            <family val="2"/>
          </rPr>
          <t>Steven Ferreira: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1) Repérer les contenus additionnels déclenchés uniquement par CSS :</t>
        </r>
        <r>
          <rPr>
            <sz val="9"/>
            <color indexed="81"/>
            <rFont val="Tahoma"/>
            <family val="2"/>
          </rPr>
          <t xml:space="preserve">
• Éléments visibles uniquement au survol (pseudo-classe :hover).
• Éléments visibles uniquement à la prise de focus (pseudo-classe :focus).
</t>
        </r>
        <r>
          <rPr>
            <b/>
            <sz val="9"/>
            <color indexed="81"/>
            <rFont val="Tahoma"/>
            <family val="2"/>
          </rPr>
          <t>2) Vérifier les contenus déclenchés par le survol (Test 10.14.1) :</t>
        </r>
        <r>
          <rPr>
            <sz val="9"/>
            <color indexed="81"/>
            <rFont val="Tahoma"/>
            <family val="2"/>
          </rPr>
          <t xml:space="preserve">
• Les contenus additionnels doivent aussi apparaître à l’activation du composant via clavier ou dispositif de pointage.
• OU apparaître à la prise de focus du composant.
• OU apparaître via l’activation ou la prise de focus d’un autre composant.
</t>
        </r>
        <r>
          <rPr>
            <b/>
            <sz val="9"/>
            <color indexed="81"/>
            <rFont val="Tahoma"/>
            <family val="2"/>
          </rPr>
          <t>3) Vérifier les contenus déclenchés par le focus (Test 10.14.2) :</t>
        </r>
        <r>
          <rPr>
            <sz val="9"/>
            <color indexed="81"/>
            <rFont val="Tahoma"/>
            <family val="2"/>
          </rPr>
          <t xml:space="preserve">
• Les contenus additionnels doivent aussi apparaître à l’activation du composant via clavier ou dispositif de pointage.
• OU apparaître au survol du composant.
• OU apparaître via l’activation ou le survol d’un autre composant.
</t>
        </r>
        <r>
          <rPr>
            <b/>
            <sz val="9"/>
            <color indexed="81"/>
            <rFont val="Tahoma"/>
            <family val="2"/>
          </rPr>
          <t>4) Validation du test :</t>
        </r>
        <r>
          <rPr>
            <sz val="9"/>
            <color indexed="81"/>
            <rFont val="Tahoma"/>
            <family val="2"/>
          </rPr>
          <t xml:space="preserve">
• ✅ Si les contenus additionnels sont accessibles à la fois au clavier et par tout dispositif de pointage, le test est validé.
• ❌ Si un contenu apparaît uniquement par le survol ou uniquement par le focus, sans autre moyen d’y accéder, le test échoue.</t>
        </r>
      </text>
    </comment>
    <comment ref="C46" authorId="0" shapeId="0" xr:uid="{68EE05AA-B413-4840-B399-EC7F94F3F031}">
      <text>
        <r>
          <rPr>
            <b/>
            <sz val="9"/>
            <color indexed="81"/>
            <rFont val="Tahoma"/>
            <family val="2"/>
          </rPr>
          <t>Steven Ferreira: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1) Repérer les champs soumis à un contrôle de saisie :</t>
        </r>
        <r>
          <rPr>
            <sz val="9"/>
            <color indexed="81"/>
            <rFont val="Tahoma"/>
            <family val="2"/>
          </rPr>
          <t xml:space="preserve">
• Champs obligatoires (nom, email, message, etc.).
• Champs soumis à une contrainte de format (ex. email, téléphone).
</t>
        </r>
        <r>
          <rPr>
            <b/>
            <sz val="9"/>
            <color indexed="81"/>
            <rFont val="Tahoma"/>
            <family val="2"/>
          </rPr>
          <t>2) Identifier la présence d’indications avant saisie 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 xml:space="preserve">• Les champs obligatoires sont-ils signalés visuellement ou textuellement ?
• L’utilisateur est-il informé des contraintes de format avant la validation ?
</t>
        </r>
        <r>
          <rPr>
            <b/>
            <sz val="9"/>
            <color indexed="81"/>
            <rFont val="Tahoma"/>
            <family val="2"/>
          </rPr>
          <t>3) Vérifier le comportement à la validation :</t>
        </r>
        <r>
          <rPr>
            <sz val="9"/>
            <color indexed="81"/>
            <rFont val="Tahoma"/>
            <family val="2"/>
          </rPr>
          <t xml:space="preserve">
• Le formulaire affiche-t-il des messages d’erreur clairs et contextualisés ?
• Les erreurs sont-elles signalées de manière accessible (texte, focus clavier, ARIA) ?
</t>
        </r>
        <r>
          <rPr>
            <b/>
            <sz val="9"/>
            <color indexed="81"/>
            <rFont val="Tahoma"/>
            <family val="2"/>
          </rPr>
          <t xml:space="preserve">
4) Validation du test 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✖ Si les champs obligatoires ne sont pas indiqués avant saisie ou si les erreurs ne sont pas signalées clairement → test échoué.</t>
        </r>
        <r>
          <rPr>
            <sz val="9"/>
            <color indexed="81"/>
            <rFont val="Tahoma"/>
            <family val="2"/>
          </rPr>
          <t xml:space="preserve">
✔ Si tous les champs obligatoires et contraintes sont indiqués et les erreurs bien restituées → test validé.</t>
        </r>
      </text>
    </comment>
    <comment ref="C52" authorId="0" shapeId="0" xr:uid="{EE8FCBAF-1934-4158-8CFE-026FD30C81C2}">
      <text>
        <r>
          <rPr>
            <b/>
            <sz val="9"/>
            <color indexed="81"/>
            <rFont val="Tahoma"/>
            <family val="2"/>
          </rPr>
          <t>Steven Ferreira: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1) Repérer</t>
        </r>
        <r>
          <rPr>
            <sz val="9"/>
            <color indexed="81"/>
            <rFont val="Tahoma"/>
            <family val="2"/>
          </rPr>
          <t xml:space="preserve">
• Rafraîchissements automatiques (&lt;meta refresh&gt;, &lt;object&gt;, &lt;embed&gt;, &lt;svg&gt;, &lt;canvas&gt;).
• Redirections via &lt;meta&gt; ou scripts.
• Limites de temps de session (ex. authentification).
</t>
        </r>
        <r>
          <rPr>
            <b/>
            <sz val="9"/>
            <color indexed="81"/>
            <rFont val="Tahoma"/>
            <family val="2"/>
          </rPr>
          <t>2) Vérifier selon le cas</t>
        </r>
        <r>
          <rPr>
            <sz val="9"/>
            <color indexed="81"/>
            <rFont val="Tahoma"/>
            <family val="2"/>
          </rPr>
          <t xml:space="preserve">
a) Rafraîchissement (Test 13.1.1)
• L’utilisateur peut arrêter/relancer.
• OU prolonger le délai d’au moins ×10.
• OU être averti et avoir ≥ 20s pour réagir.
• OU délai ≥ 20h.
b) Redirection via &lt;meta&gt; (Test 13.1.2)
• Doit être immédiate (content="0;URL=...").
c) Redirection via script (Test 13.1.3)
• L’utilisateur peut arrêter/relancer.
• OU prolonger le délai d’au moins ×10.
• OU être averti et avoir ≥ 20s pour réagir.
• OU délai ≥ 20h.
d) Limite de session (Test 13.1.4)
• L’utilisateur peut supprimer la limite.
• OU prolonger la limite.
• OU délai ≥ 20h.
</t>
        </r>
        <r>
          <rPr>
            <b/>
            <sz val="9"/>
            <color indexed="81"/>
            <rFont val="Tahoma"/>
            <family val="2"/>
          </rPr>
          <t>3) Validation</t>
        </r>
        <r>
          <rPr>
            <sz val="9"/>
            <color indexed="81"/>
            <rFont val="Tahoma"/>
            <family val="2"/>
          </rPr>
          <t xml:space="preserve">
• ✅ Si pour chaque cas, un mécanisme de contrôle est présent → test validé.
• ❌ Si l’utilisateur subit une limite de temps sans contrôle → test échoué.
</t>
        </r>
        <r>
          <rPr>
            <b/>
            <sz val="9"/>
            <color indexed="81"/>
            <rFont val="Tahoma"/>
            <family val="2"/>
          </rPr>
          <t>4) Cas particuliers</t>
        </r>
        <r>
          <rPr>
            <sz val="9"/>
            <color indexed="81"/>
            <rFont val="Tahoma"/>
            <family val="2"/>
          </rPr>
          <t xml:space="preserve">
• Si la limite est essentielle (ex. redirection vers une URL actualisée, contenu en direct comme une bourse), le critère est non applicable.</t>
        </r>
      </text>
    </comment>
    <comment ref="C54" authorId="0" shapeId="0" xr:uid="{85013A80-F1CB-46AC-8707-31A58F61E4D0}">
      <text>
        <r>
          <rPr>
            <b/>
            <sz val="9"/>
            <color indexed="81"/>
            <rFont val="Tahoma"/>
            <family val="2"/>
          </rPr>
          <t>Steven Ferreira: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1) Repérer</t>
        </r>
        <r>
          <rPr>
            <sz val="9"/>
            <color indexed="81"/>
            <rFont val="Tahoma"/>
            <family val="2"/>
          </rPr>
          <t xml:space="preserve">
• Tous les contenus en mouvement ou clignotants déclenchés automatiquement :
• Animations CSS, GIFs, sliders.
• Textes défilants.
• Scripts qui font bouger ou clignoter un élément.
</t>
        </r>
        <r>
          <rPr>
            <b/>
            <sz val="9"/>
            <color indexed="81"/>
            <rFont val="Tahoma"/>
            <family val="2"/>
          </rPr>
          <t>2) Vérifier</t>
        </r>
        <r>
          <rPr>
            <sz val="9"/>
            <color indexed="81"/>
            <rFont val="Tahoma"/>
            <family val="2"/>
          </rPr>
          <t xml:space="preserve">
• L’utilisateur a un moyen de contrôle :
• Le mouvement/clignotement dure ≤ 5 secondes.
• OU possibilité d’arrêter et de relancer.
• OU possibilité de masquer/afficher.
• OU possibilité de voir tout le contenu sans mouvement/clignotement.
</t>
        </r>
        <r>
          <rPr>
            <b/>
            <sz val="9"/>
            <color indexed="81"/>
            <rFont val="Tahoma"/>
            <family val="2"/>
          </rPr>
          <t>3) Validation</t>
        </r>
        <r>
          <rPr>
            <sz val="9"/>
            <color indexed="81"/>
            <rFont val="Tahoma"/>
            <family val="2"/>
          </rPr>
          <t xml:space="preserve">
• ✅ Si l’utilisateur garde le contrôle → test validé.
• ❌ Si un contenu bouge/clignote en continu sans option pour le stopper → test échoué.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Steven Ferreira</author>
  </authors>
  <commentList>
    <comment ref="C7" authorId="0" shapeId="0" xr:uid="{459A6C2E-CE0E-4BF8-BCBC-494A3C1EE103}">
      <text>
        <r>
          <rPr>
            <sz val="9"/>
            <color indexed="81"/>
            <rFont val="Tahoma"/>
            <family val="2"/>
          </rPr>
          <t>Steven Ferreira: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1) Repérer</t>
        </r>
        <r>
          <rPr>
            <sz val="9"/>
            <color indexed="81"/>
            <rFont val="Tahoma"/>
            <family val="2"/>
          </rPr>
          <t xml:space="preserve">
• Images informatives complexes : graphiques, schémas, infographies (&lt;img&gt;, &lt;object&gt;, &lt;embed&gt;, &lt;input type="image"&gt;, &lt;svg&gt;, &lt;canvas&gt;, role="img").
</t>
        </r>
        <r>
          <rPr>
            <b/>
            <sz val="9"/>
            <color indexed="81"/>
            <rFont val="Tahoma"/>
            <family val="2"/>
          </rPr>
          <t>2) Vérifier</t>
        </r>
        <r>
          <rPr>
            <sz val="9"/>
            <color indexed="81"/>
            <rFont val="Tahoma"/>
            <family val="2"/>
          </rPr>
          <t xml:space="preserve">
• Une description détaillée est accessible par :
• Attribut longdesc (ancien mais encore accepté).
• Texte alternatif qui mentionne une description adjacente.
• Lien ou bouton adjacent menant à la description.
• Attributs ARIA (aria-label, aria-labelledby, aria-describedby) reliant l’image à la description.
• Contenu textuel directement présent (ex. dans &lt;canvas&gt; ou via &lt;figcaption&gt;).
</t>
        </r>
        <r>
          <rPr>
            <b/>
            <sz val="9"/>
            <color indexed="81"/>
            <rFont val="Tahoma"/>
            <family val="2"/>
          </rPr>
          <t xml:space="preserve">
3) Validation</t>
        </r>
        <r>
          <rPr>
            <sz val="9"/>
            <color indexed="81"/>
            <rFont val="Tahoma"/>
            <family val="2"/>
          </rPr>
          <t xml:space="preserve">
• ✅ Si la description permet d’obtenir les mêmes infos que l’image → test validé.
• ❌ Si la description est absente, incomplète ou non restituée par les lecteurs d’écran → test échoué.</t>
        </r>
      </text>
    </comment>
    <comment ref="C10" authorId="0" shapeId="0" xr:uid="{B5ED89DC-3A58-499F-986B-2379F71AE708}">
      <text>
        <r>
          <rPr>
            <b/>
            <sz val="9"/>
            <color indexed="81"/>
            <rFont val="Tahoma"/>
            <family val="2"/>
          </rPr>
          <t>Steven Ferreira: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1) Repérer</t>
        </r>
        <r>
          <rPr>
            <sz val="9"/>
            <color indexed="81"/>
            <rFont val="Tahoma"/>
            <family val="2"/>
          </rPr>
          <t xml:space="preserve">
• Tous les cas où la couleur seule transmet une information :
• Texte coloré (ex. “les erreurs sont en rouge”).
• Indications de couleur dans une phrase (“les champs verts sont valides”).
• Images où la couleur seule différencie des éléments (graphique, plan, schéma).
• Propriétés CSS (color, background-color) servant à transmettre une info.
• Médias temporels (vidéo) ou non temporels (image, schéma) qui utilisent uniquement la couleur.
</t>
        </r>
        <r>
          <rPr>
            <b/>
            <sz val="9"/>
            <color indexed="81"/>
            <rFont val="Tahoma"/>
            <family val="2"/>
          </rPr>
          <t>2) Vérifier</t>
        </r>
        <r>
          <rPr>
            <sz val="9"/>
            <color indexed="81"/>
            <rFont val="Tahoma"/>
            <family val="2"/>
          </rPr>
          <t xml:space="preserve">
• L’information doit aussi être donnée par un autre moyen :
• Texte (attribut title, label clair, légende).
• Forme ou position.
• Icône ou symbole.
• Effet typographique (gras, souligné, etc.).
</t>
        </r>
        <r>
          <rPr>
            <b/>
            <sz val="9"/>
            <color indexed="81"/>
            <rFont val="Tahoma"/>
            <family val="2"/>
          </rPr>
          <t>3) Validation</t>
        </r>
        <r>
          <rPr>
            <sz val="9"/>
            <color indexed="81"/>
            <rFont val="Tahoma"/>
            <family val="2"/>
          </rPr>
          <t xml:space="preserve">
• ✅ Si toutes les infos données par couleur ont une alternative visuelle ou textuelle → test validé.
• ❌ Si une information repose uniquement sur la couleur → test échoué.</t>
        </r>
      </text>
    </comment>
    <comment ref="C16" authorId="0" shapeId="0" xr:uid="{D4C377DF-284E-416E-9C98-7D1142386FF7}">
      <text>
        <r>
          <rPr>
            <b/>
            <sz val="9"/>
            <color indexed="81"/>
            <rFont val="Tahoma"/>
            <family val="2"/>
          </rPr>
          <t>Steven Ferreira: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1) Repérer les médias non temporels :</t>
        </r>
        <r>
          <rPr>
            <sz val="9"/>
            <color indexed="81"/>
            <rFont val="Tahoma"/>
            <family val="2"/>
          </rPr>
          <t xml:space="preserve">
• Images fixes (&lt;img&gt;).
• Graphiques, schémas, infographies, </t>
        </r>
        <r>
          <rPr>
            <b/>
            <sz val="9"/>
            <color indexed="81"/>
            <rFont val="Tahoma"/>
            <family val="2"/>
          </rPr>
          <t>images dans des cartes</t>
        </r>
        <r>
          <rPr>
            <sz val="9"/>
            <color indexed="81"/>
            <rFont val="Tahoma"/>
            <family val="2"/>
          </rPr>
          <t xml:space="preserve">.
• Toute ressource visuelle qui n’est pas une vidéo ou un son.
</t>
        </r>
        <r>
          <rPr>
            <b/>
            <sz val="9"/>
            <color indexed="81"/>
            <rFont val="Tahoma"/>
            <family val="2"/>
          </rPr>
          <t>2) Vérifier la présence d’une alternative (Test 4.8.1) :</t>
        </r>
        <r>
          <rPr>
            <sz val="9"/>
            <color indexed="81"/>
            <rFont val="Tahoma"/>
            <family val="2"/>
          </rPr>
          <t xml:space="preserve">
• Un lien ou bouton adjacent clairement identifiable permet d’accéder à une page contenant une alternative.
• OU un lien ou bouton adjacent clairement identifiable permet d’accéder à une alternative dans la même page.
</t>
        </r>
        <r>
          <rPr>
            <b/>
            <sz val="9"/>
            <color indexed="81"/>
            <rFont val="Tahoma"/>
            <family val="2"/>
          </rPr>
          <t>3) Vérifier l’accessibilité de l’alternative (Test 4.8.2) :</t>
        </r>
        <r>
          <rPr>
            <sz val="9"/>
            <color indexed="81"/>
            <rFont val="Tahoma"/>
            <family val="2"/>
          </rPr>
          <t xml:space="preserve">
• La page référencée par le lien ou bouton adjacent est accessible.
• OU l’alternative dans la page, référencée par le lien ou bouton adjacent, est accessible.
</t>
        </r>
        <r>
          <rPr>
            <b/>
            <sz val="9"/>
            <color indexed="81"/>
            <rFont val="Tahoma"/>
            <family val="2"/>
          </rPr>
          <t>4) Cas particuliers (non applicable) :</t>
        </r>
        <r>
          <rPr>
            <sz val="9"/>
            <color indexed="81"/>
            <rFont val="Tahoma"/>
            <family val="2"/>
          </rPr>
          <t xml:space="preserve">
• Si le média non temporel est purement décoratif (aucune information).
• Si le média est diffusé dans un environnement maîtrisé.
• Si le média est inséré via JavaScript en remplacement d’un contenu alternatif déjà présent.
</t>
        </r>
        <r>
          <rPr>
            <b/>
            <sz val="9"/>
            <color indexed="81"/>
            <rFont val="Tahoma"/>
            <family val="2"/>
          </rPr>
          <t>5) Validation du test :</t>
        </r>
        <r>
          <rPr>
            <sz val="9"/>
            <color indexed="81"/>
            <rFont val="Tahoma"/>
            <family val="2"/>
          </rPr>
          <t xml:space="preserve">
• ✅ Si chaque média non temporel a bien une alternative accessible, le test est validé.
• ❌ Si un média informatif n’a aucune alternative disponible ou accessible, le test échoue.</t>
        </r>
      </text>
    </comment>
    <comment ref="C17" authorId="0" shapeId="0" xr:uid="{00396DB0-E777-434D-98D3-E58A70D938CA}">
      <text>
        <r>
          <rPr>
            <b/>
            <sz val="9"/>
            <color indexed="81"/>
            <rFont val="Tahoma"/>
            <family val="2"/>
          </rPr>
          <t>Steven Ferreira: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1) Repérer les médias non temporels avec alternative :</t>
        </r>
        <r>
          <rPr>
            <sz val="9"/>
            <color indexed="81"/>
            <rFont val="Tahoma"/>
            <family val="2"/>
          </rPr>
          <t xml:space="preserve">
• Images fixes (&lt;img&gt;).
• Graphiques, schémas, infographies.
• Tout contenu visuel non temporel pour lequel une alternative existe (texte, page dédiée, description, etc.).
</t>
        </r>
        <r>
          <rPr>
            <b/>
            <sz val="9"/>
            <color indexed="81"/>
            <rFont val="Tahoma"/>
            <family val="2"/>
          </rPr>
          <t xml:space="preserve">
2) Vérifier la pertinence de l’alternative (Test 4.9.1) :</t>
        </r>
        <r>
          <rPr>
            <sz val="9"/>
            <color indexed="81"/>
            <rFont val="Tahoma"/>
            <family val="2"/>
          </rPr>
          <t xml:space="preserve">
• L’alternative doit donner accès au même contenu.
• L’alternative doit offrir des fonctionnalités similaires (ex. un graphique → un tableau de données équivalent).
</t>
        </r>
        <r>
          <rPr>
            <b/>
            <sz val="9"/>
            <color indexed="81"/>
            <rFont val="Tahoma"/>
            <family val="2"/>
          </rPr>
          <t>3) Validation du test :</t>
        </r>
        <r>
          <rPr>
            <sz val="9"/>
            <color indexed="81"/>
            <rFont val="Tahoma"/>
            <family val="2"/>
          </rPr>
          <t xml:space="preserve">
• ✅ Si toutes les alternatives permettent d’obtenir le même contenu et les mêmes fonctionnalités → test validé.
• ❌ Si une alternative est incomplète ou ne reflète pas l’information donnée par le média → test échoué.</t>
        </r>
      </text>
    </comment>
    <comment ref="C22" authorId="0" shapeId="0" xr:uid="{CACC30E6-8745-4C68-BBD3-B0DE3067CD50}">
      <text>
        <r>
          <rPr>
            <b/>
            <sz val="9"/>
            <color indexed="81"/>
            <rFont val="Tahoma"/>
            <family val="2"/>
          </rPr>
          <t>Steven Ferreira: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1) Repérer</t>
        </r>
        <r>
          <rPr>
            <sz val="9"/>
            <color indexed="81"/>
            <rFont val="Tahoma"/>
            <family val="2"/>
          </rPr>
          <t xml:space="preserve">
• Tous les types de liens :
• Liens texte.
• Liens image (&lt;img&gt;, &lt;area&gt;, &lt;object&gt;, &lt;canvas&gt;, &lt;svg&gt;).
• Liens composites (texte + image).
• Liens SVG (&lt;svg&gt;&lt;a href=...&gt;).
</t>
        </r>
        <r>
          <rPr>
            <b/>
            <sz val="9"/>
            <color indexed="81"/>
            <rFont val="Tahoma"/>
            <family val="2"/>
          </rPr>
          <t>2) Vérifier</t>
        </r>
        <r>
          <rPr>
            <sz val="9"/>
            <color indexed="81"/>
            <rFont val="Tahoma"/>
            <family val="2"/>
          </rPr>
          <t xml:space="preserve">
• L’intitulé du lien (seul ou avec son contexte) permet de comprendre :
• Sa fonction (ce qu’il fait).
• Sa destination (où il mène).
• Pour les liens image → l’alternative textuelle fournit l’intitulé.
• Pour les liens composites → le texte + l’alternative de l’image forment l’intitulé.
• Pour les liens SVG → le nom accessible est issu du contenu &lt;text&gt;, &lt;title&gt; ou ARIA.
• Si un lien a un intitulé visible + un attribut (title, aria-label, aria-labelledby) → le nom accessible doit contenir au moins l’intitulé visible.
</t>
        </r>
        <r>
          <rPr>
            <b/>
            <sz val="9"/>
            <color indexed="81"/>
            <rFont val="Tahoma"/>
            <family val="2"/>
          </rPr>
          <t>3) Validation</t>
        </r>
        <r>
          <rPr>
            <sz val="9"/>
            <color indexed="81"/>
            <rFont val="Tahoma"/>
            <family val="2"/>
          </rPr>
          <t xml:space="preserve">
• ✅ Si chaque lien est compréhensible seul ou avec son contexte, le test est validé.
• ❌ Si un lien est ambigu (ex. “cliquez ici”, icône sans alternative, symbole sans explication) → test échoué.</t>
        </r>
      </text>
    </comment>
    <comment ref="C23" authorId="0" shapeId="0" xr:uid="{DE705FB5-45F4-4CCE-925F-FA0D9D76F5FD}">
      <text>
        <r>
          <rPr>
            <b/>
            <sz val="9"/>
            <color indexed="81"/>
            <rFont val="Tahoma"/>
            <family val="2"/>
          </rPr>
          <t>Steven Ferreira: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1) Repérer</t>
        </r>
        <r>
          <rPr>
            <sz val="9"/>
            <color indexed="81"/>
            <rFont val="Tahoma"/>
            <family val="2"/>
          </rPr>
          <t xml:space="preserve">
Retrouver tous les liens de la page :
les éléments &lt;a&gt; ayant un attribut href,
les éléments pourvus d’un attribut role="link",
les zones cliquables &lt;area&gt; liées à une image.
</t>
        </r>
        <r>
          <rPr>
            <b/>
            <sz val="9"/>
            <color indexed="81"/>
            <rFont val="Tahoma"/>
            <family val="2"/>
          </rPr>
          <t>2) Vérifier</t>
        </r>
        <r>
          <rPr>
            <sz val="9"/>
            <color indexed="81"/>
            <rFont val="Tahoma"/>
            <family val="2"/>
          </rPr>
          <t xml:space="preserve">
Pour chaque lien repéré, contrôler que :
entre &lt;a&gt; et &lt;/a&gt; il existe un intitulé (texte visible, image avec alt, contenu accessible via aria-label ou aria-labelledby),
cet intitulé n’est pas vide, ni réduit à des caractères décoratifs (par ex. … ou icône sans alternative).
👉 L’inspecteur d’accessibilité (onglet </t>
        </r>
        <r>
          <rPr>
            <b/>
            <sz val="9"/>
            <color indexed="81"/>
            <rFont val="Tahoma"/>
            <family val="2"/>
          </rPr>
          <t>Accessibility de Firefox</t>
        </r>
        <r>
          <rPr>
            <sz val="9"/>
            <color indexed="81"/>
            <rFont val="Tahoma"/>
            <family val="2"/>
          </rPr>
          <t xml:space="preserve">) doit afficher un Name non vide pour le lien.
</t>
        </r>
        <r>
          <rPr>
            <b/>
            <sz val="9"/>
            <color indexed="81"/>
            <rFont val="Tahoma"/>
            <family val="2"/>
          </rPr>
          <t>3) Validation</t>
        </r>
        <r>
          <rPr>
            <sz val="9"/>
            <color indexed="81"/>
            <rFont val="Tahoma"/>
            <family val="2"/>
          </rPr>
          <t xml:space="preserve">
Si chaque lien possède un intitulé valide et non vide → test validé.
Si un ou plusieurs liens n’ont aucun intitulé (contenu vide, image sans alt, icône seule sans texte alternatif) → non conforme.</t>
        </r>
      </text>
    </comment>
    <comment ref="C36" authorId="0" shapeId="0" xr:uid="{2B0D7444-6ABD-4404-B7AD-409ED9E26D3F}">
      <text>
        <r>
          <rPr>
            <b/>
            <sz val="9"/>
            <color indexed="81"/>
            <rFont val="Tahoma"/>
            <family val="2"/>
          </rPr>
          <t>Steven Ferreira:</t>
        </r>
        <r>
          <rPr>
            <sz val="9"/>
            <color indexed="81"/>
            <rFont val="Tahoma"/>
            <family val="2"/>
          </rPr>
          <t xml:space="preserve">
Conseil pratique : Les outils comme </t>
        </r>
        <r>
          <rPr>
            <b/>
            <sz val="9"/>
            <color indexed="81"/>
            <rFont val="Tahoma"/>
            <family val="2"/>
          </rPr>
          <t xml:space="preserve">axe DevTools </t>
        </r>
        <r>
          <rPr>
            <sz val="9"/>
            <color indexed="81"/>
            <rFont val="Tahoma"/>
            <family val="2"/>
          </rPr>
          <t xml:space="preserve">détectent automatiquement les erreurs courantes liées à aria-hidden="true" (par exemple quand un élément caché contient un bouton ou un lien focusable). Vérifie toujours ces alertes, car elles révèlent une non-conformité typique du critère 10.8.
</t>
        </r>
        <r>
          <rPr>
            <b/>
            <sz val="9"/>
            <color indexed="81"/>
            <rFont val="Tahoma"/>
            <family val="2"/>
          </rPr>
          <t>1) Repérer</t>
        </r>
        <r>
          <rPr>
            <sz val="9"/>
            <color indexed="81"/>
            <rFont val="Tahoma"/>
            <family val="2"/>
          </rPr>
          <t xml:space="preserve">
• Tous les contenus cachés via :
• Attribut hidden.
• Attribut aria-hidden.
• CSS (display:none, visibility:hidden, etc.).
</t>
        </r>
        <r>
          <rPr>
            <b/>
            <sz val="9"/>
            <color indexed="81"/>
            <rFont val="Tahoma"/>
            <family val="2"/>
          </rPr>
          <t xml:space="preserve">
2) Vérifier</t>
        </r>
        <r>
          <rPr>
            <sz val="9"/>
            <color indexed="81"/>
            <rFont val="Tahoma"/>
            <family val="2"/>
          </rPr>
          <t xml:space="preserve">
• Si le contenu est réellement décoratif/technique, il doit être ignoré par les technologies d’assistance.
• Si le contenu doit être utile à l’utilisateur, il doit être restitué :
• Après une action au clavier ou à la souris sur un élément qui le déclenche.
• OU après un repositionnement du focus programmé dessus.
</t>
        </r>
        <r>
          <rPr>
            <b/>
            <sz val="9"/>
            <color indexed="81"/>
            <rFont val="Tahoma"/>
            <family val="2"/>
          </rPr>
          <t>3) Validation</t>
        </r>
        <r>
          <rPr>
            <sz val="9"/>
            <color indexed="81"/>
            <rFont val="Tahoma"/>
            <family val="2"/>
          </rPr>
          <t xml:space="preserve">
• ✅ Si chaque contenu caché est correctement ignoré ou restitué → test validé.
• ❌ Si un contenu utile reste inaccessible aux technologies d’assistance → test échoué.</t>
        </r>
      </text>
    </comment>
    <comment ref="C37" authorId="0" shapeId="0" xr:uid="{C57A160A-3A3D-41A1-A069-E44C0A6D34FB}">
      <text>
        <r>
          <rPr>
            <b/>
            <sz val="9"/>
            <color indexed="81"/>
            <rFont val="Tahoma"/>
            <family val="2"/>
          </rPr>
          <t xml:space="preserve">1) Repérer
</t>
        </r>
        <r>
          <rPr>
            <sz val="9"/>
            <color indexed="81"/>
            <rFont val="Tahoma"/>
            <family val="2"/>
          </rPr>
          <t>Identifier dans la page :</t>
        </r>
        <r>
          <rPr>
            <b/>
            <sz val="9"/>
            <color indexed="81"/>
            <rFont val="Tahoma"/>
            <family val="2"/>
          </rPr>
          <t xml:space="preserve">
-</t>
        </r>
        <r>
          <rPr>
            <sz val="9"/>
            <color indexed="81"/>
            <rFont val="Tahoma"/>
            <family val="2"/>
          </rPr>
          <t>Textes mis en valeur uniquement par couleur, forme ou taille.
- Informations données par la position : « voir colonne de droite », « bouton en haut », etc.
- Graphiques où seules les formes ou couleurs distinguent les éléments.
- Médias (vidéo, audio, image, infographie) où une différence repose uniquement sur la présentation visuelle.</t>
        </r>
        <r>
          <rPr>
            <b/>
            <sz val="9"/>
            <color indexed="81"/>
            <rFont val="Tahoma"/>
            <family val="2"/>
          </rPr>
          <t xml:space="preserve">
2) Vérifier
</t>
        </r>
        <r>
          <rPr>
            <sz val="9"/>
            <color indexed="81"/>
            <rFont val="Tahoma"/>
            <family val="2"/>
          </rPr>
          <t>- Demander : si j’enlève la couleur, la forme, la taille ou la position, est-ce que l’information reste compréhensible ?
- Chercher un équivalent textuel ou symbolique clair.</t>
        </r>
        <r>
          <rPr>
            <b/>
            <sz val="9"/>
            <color indexed="81"/>
            <rFont val="Tahoma"/>
            <family val="2"/>
          </rPr>
          <t xml:space="preserve">
3) Validation
</t>
        </r>
        <r>
          <rPr>
            <sz val="9"/>
            <color indexed="81"/>
            <rFont val="Tahoma"/>
            <family val="2"/>
          </rPr>
          <t>- ✅ Conforme : l’information est disponible autrement (texte, légende, icône, label, description).
- ❌ Non conforme : l’information repose uniquement sur un indice visuel (taille, couleur, emplacement).</t>
        </r>
        <r>
          <rPr>
            <b/>
            <sz val="9"/>
            <color indexed="81"/>
            <rFont val="Tahoma"/>
            <family val="2"/>
          </rPr>
          <t xml:space="preserve">
Exemples:
</t>
        </r>
        <r>
          <rPr>
            <sz val="9"/>
            <color indexed="81"/>
            <rFont val="Tahoma"/>
            <family val="2"/>
          </rPr>
          <t>- Erreur (texte) : « Les champs obligatoires sont en rouge » → repose uniquement sur la couleur.
- Correct (texte) : « Les champs obligatoires sont indiqués par une étoile (*) » + mention textuelle « champ obligatoire ».
- Erreur (image) : un plan où seule la couleur distingue les zones.
- Correct (image) : plan avec couleurs + légendes textuelles (« Zone A – Entrée visiteurs », « Zone B – Parking »).
- Erreur (média) : une vidéo où on dit seulement « cliquez sur le carré » sans autre explication.
- Correct (média) : la vidéo indique « cliquez sur le carré bleu avec l’étiquette Valider ».</t>
        </r>
      </text>
    </comment>
    <comment ref="C38" authorId="0" shapeId="0" xr:uid="{3BAED7E4-D3AA-43B1-B7A9-519001E6DF7A}">
      <text>
        <r>
          <rPr>
            <b/>
            <sz val="9"/>
            <color indexed="81"/>
            <rFont val="Tahoma"/>
            <family val="2"/>
          </rPr>
          <t>Steven Ferreira: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1) Repérer</t>
        </r>
        <r>
          <rPr>
            <sz val="9"/>
            <color indexed="81"/>
            <rFont val="Tahoma"/>
            <family val="2"/>
          </rPr>
          <t xml:space="preserve">
Reprendre les mêmes cas que pour 10.9, mais se concentrer sur les alternatives déjà mises en place (texte, icône, légende, description).
</t>
        </r>
        <r>
          <rPr>
            <b/>
            <sz val="9"/>
            <color indexed="81"/>
            <rFont val="Tahoma"/>
            <family val="2"/>
          </rPr>
          <t>2) Vérifier</t>
        </r>
        <r>
          <rPr>
            <sz val="9"/>
            <color indexed="81"/>
            <rFont val="Tahoma"/>
            <family val="2"/>
          </rPr>
          <t xml:space="preserve">
- L’alternative est-elle pertinente et compréhensible pour tous les utilisateurs et tous les contextes (lecteur d’écran, impression N&amp;B, basse vision, etc.) ?
- Vérifier que la légende ou l’annotation donne bien l’info sans ambiguïté.
</t>
        </r>
        <r>
          <rPr>
            <b/>
            <sz val="9"/>
            <color indexed="81"/>
            <rFont val="Tahoma"/>
            <family val="2"/>
          </rPr>
          <t>3) Validation</t>
        </r>
        <r>
          <rPr>
            <sz val="9"/>
            <color indexed="81"/>
            <rFont val="Tahoma"/>
            <family val="2"/>
          </rPr>
          <t xml:space="preserve">
- ✅ Conforme : l’alternative transmet réellement la même information que la forme/taille/position.
- ❌ Non conforme : l’alternative existe mais est insuffisante, ambiguë, ou ne s’applique pas dans tous les contextes.
</t>
        </r>
        <r>
          <rPr>
            <b/>
            <sz val="9"/>
            <color indexed="81"/>
            <rFont val="Tahoma"/>
            <family val="2"/>
          </rPr>
          <t>Exemples:</t>
        </r>
        <r>
          <rPr>
            <sz val="9"/>
            <color indexed="81"/>
            <rFont val="Tahoma"/>
            <family val="2"/>
          </rPr>
          <t xml:space="preserve">
- Erreur (texte) : champs obligatoires signalés par une étoile, mais sans explication → un lecteur d’écran va lire « étoile », ce qui n’est pas clair.
- Correct (texte) : étoile + mention textuelle « champ obligatoire ».
- Erreur (image) : un graphique avec des couleurs + une légende « en bleu = hommes, en vert = femmes » → si l’impression est en N&amp;B, l’info est perdue.
- Correct (image) : graphique avec couleurs + motifs distinctifs (hachures, cercles) et légende textuelle claire.
- Erreur (média temporel) : une vidéo avec sous-titres « [musique dramatique] » pour indiquer une tension → pas assez pertinent si l’émotion est essentielle au scénario.
- Correct (média temporel) : sous-titres détaillant l’action (« Bruit de tonnerre – un personnage sursaute »).</t>
        </r>
      </text>
    </comment>
    <comment ref="C39" authorId="0" shapeId="0" xr:uid="{D4B5D347-877A-4BB4-BB4F-28D1E71F777E}">
      <text>
        <r>
          <rPr>
            <b/>
            <sz val="9"/>
            <color indexed="81"/>
            <rFont val="Tahoma"/>
            <family val="2"/>
          </rPr>
          <t>Steven Ferreira: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1) Repérer les contenus additionnels déclenchés uniquement par CSS :</t>
        </r>
        <r>
          <rPr>
            <sz val="9"/>
            <color indexed="81"/>
            <rFont val="Tahoma"/>
            <family val="2"/>
          </rPr>
          <t xml:space="preserve">
• Éléments visibles uniquement au survol (pseudo-classe :hover).
• Éléments visibles uniquement à la prise de focus (pseudo-classe :focus).
</t>
        </r>
        <r>
          <rPr>
            <b/>
            <sz val="9"/>
            <color indexed="81"/>
            <rFont val="Tahoma"/>
            <family val="2"/>
          </rPr>
          <t>2) Vérifier les contenus déclenchés par le survol (Test 10.14.1) :</t>
        </r>
        <r>
          <rPr>
            <sz val="9"/>
            <color indexed="81"/>
            <rFont val="Tahoma"/>
            <family val="2"/>
          </rPr>
          <t xml:space="preserve">
• Les contenus additionnels doivent aussi apparaître à l’activation du composant via clavier ou dispositif de pointage.
• OU apparaître à la prise de focus du composant.
• OU apparaître via l’activation ou la prise de focus d’un autre composant.
</t>
        </r>
        <r>
          <rPr>
            <b/>
            <sz val="9"/>
            <color indexed="81"/>
            <rFont val="Tahoma"/>
            <family val="2"/>
          </rPr>
          <t>3) Vérifier les contenus déclenchés par le focus (Test 10.14.2) :</t>
        </r>
        <r>
          <rPr>
            <sz val="9"/>
            <color indexed="81"/>
            <rFont val="Tahoma"/>
            <family val="2"/>
          </rPr>
          <t xml:space="preserve">
• Les contenus additionnels doivent aussi apparaître à l’activation du composant via clavier ou dispositif de pointage.
• OU apparaître au survol du composant.
• OU apparaître via l’activation ou le survol d’un autre composant.
</t>
        </r>
        <r>
          <rPr>
            <b/>
            <sz val="9"/>
            <color indexed="81"/>
            <rFont val="Tahoma"/>
            <family val="2"/>
          </rPr>
          <t>4) Validation du test :</t>
        </r>
        <r>
          <rPr>
            <sz val="9"/>
            <color indexed="81"/>
            <rFont val="Tahoma"/>
            <family val="2"/>
          </rPr>
          <t xml:space="preserve">
• ✅ Si les contenus additionnels sont accessibles à la fois au clavier et par tout dispositif de pointage, le test est validé.
• ❌ Si un contenu apparaît uniquement par le survol ou uniquement par le focus, sans autre moyen d’y accéder, le test échoue.</t>
        </r>
      </text>
    </comment>
    <comment ref="C46" authorId="0" shapeId="0" xr:uid="{816E6A96-3354-4D04-BB3B-0831DAAF701F}">
      <text>
        <r>
          <rPr>
            <b/>
            <sz val="9"/>
            <color indexed="81"/>
            <rFont val="Tahoma"/>
            <family val="2"/>
          </rPr>
          <t>Steven Ferreira: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1) Repérer les champs soumis à un contrôle de saisie :</t>
        </r>
        <r>
          <rPr>
            <sz val="9"/>
            <color indexed="81"/>
            <rFont val="Tahoma"/>
            <family val="2"/>
          </rPr>
          <t xml:space="preserve">
• Champs obligatoires (nom, email, message, etc.).
• Champs soumis à une contrainte de format (ex. email, téléphone).
</t>
        </r>
        <r>
          <rPr>
            <b/>
            <sz val="9"/>
            <color indexed="81"/>
            <rFont val="Tahoma"/>
            <family val="2"/>
          </rPr>
          <t>2) Identifier la présence d’indications avant saisie 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 xml:space="preserve">• Les champs obligatoires sont-ils signalés visuellement ou textuellement ?
• L’utilisateur est-il informé des contraintes de format avant la validation ?
</t>
        </r>
        <r>
          <rPr>
            <b/>
            <sz val="9"/>
            <color indexed="81"/>
            <rFont val="Tahoma"/>
            <family val="2"/>
          </rPr>
          <t>3) Vérifier le comportement à la validation :</t>
        </r>
        <r>
          <rPr>
            <sz val="9"/>
            <color indexed="81"/>
            <rFont val="Tahoma"/>
            <family val="2"/>
          </rPr>
          <t xml:space="preserve">
• Le formulaire affiche-t-il des messages d’erreur clairs et contextualisés ?
• Les erreurs sont-elles signalées de manière accessible (texte, focus clavier, ARIA) ?
</t>
        </r>
        <r>
          <rPr>
            <b/>
            <sz val="9"/>
            <color indexed="81"/>
            <rFont val="Tahoma"/>
            <family val="2"/>
          </rPr>
          <t xml:space="preserve">
4) Validation du test 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✖ Si les champs obligatoires ne sont pas indiqués avant saisie ou si les erreurs ne sont pas signalées clairement → test échoué.</t>
        </r>
        <r>
          <rPr>
            <sz val="9"/>
            <color indexed="81"/>
            <rFont val="Tahoma"/>
            <family val="2"/>
          </rPr>
          <t xml:space="preserve">
✔ Si tous les champs obligatoires et contraintes sont indiqués et les erreurs bien restituées → test validé.</t>
        </r>
      </text>
    </comment>
    <comment ref="C52" authorId="0" shapeId="0" xr:uid="{1CDCEAC1-3886-42BC-981F-DA458BA59319}">
      <text>
        <r>
          <rPr>
            <b/>
            <sz val="9"/>
            <color indexed="81"/>
            <rFont val="Tahoma"/>
            <family val="2"/>
          </rPr>
          <t>Steven Ferreira: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1) Repérer</t>
        </r>
        <r>
          <rPr>
            <sz val="9"/>
            <color indexed="81"/>
            <rFont val="Tahoma"/>
            <family val="2"/>
          </rPr>
          <t xml:space="preserve">
• Rafraîchissements automatiques (&lt;meta refresh&gt;, &lt;object&gt;, &lt;embed&gt;, &lt;svg&gt;, &lt;canvas&gt;).
• Redirections via &lt;meta&gt; ou scripts.
• Limites de temps de session (ex. authentification).
</t>
        </r>
        <r>
          <rPr>
            <b/>
            <sz val="9"/>
            <color indexed="81"/>
            <rFont val="Tahoma"/>
            <family val="2"/>
          </rPr>
          <t>2) Vérifier selon le cas</t>
        </r>
        <r>
          <rPr>
            <sz val="9"/>
            <color indexed="81"/>
            <rFont val="Tahoma"/>
            <family val="2"/>
          </rPr>
          <t xml:space="preserve">
a) Rafraîchissement (Test 13.1.1)
• L’utilisateur peut arrêter/relancer.
• OU prolonger le délai d’au moins ×10.
• OU être averti et avoir ≥ 20s pour réagir.
• OU délai ≥ 20h.
b) Redirection via &lt;meta&gt; (Test 13.1.2)
• Doit être immédiate (content="0;URL=...").
c) Redirection via script (Test 13.1.3)
• L’utilisateur peut arrêter/relancer.
• OU prolonger le délai d’au moins ×10.
• OU être averti et avoir ≥ 20s pour réagir.
• OU délai ≥ 20h.
d) Limite de session (Test 13.1.4)
• L’utilisateur peut supprimer la limite.
• OU prolonger la limite.
• OU délai ≥ 20h.
</t>
        </r>
        <r>
          <rPr>
            <b/>
            <sz val="9"/>
            <color indexed="81"/>
            <rFont val="Tahoma"/>
            <family val="2"/>
          </rPr>
          <t>3) Validation</t>
        </r>
        <r>
          <rPr>
            <sz val="9"/>
            <color indexed="81"/>
            <rFont val="Tahoma"/>
            <family val="2"/>
          </rPr>
          <t xml:space="preserve">
• ✅ Si pour chaque cas, un mécanisme de contrôle est présent → test validé.
• ❌ Si l’utilisateur subit une limite de temps sans contrôle → test échoué.
</t>
        </r>
        <r>
          <rPr>
            <b/>
            <sz val="9"/>
            <color indexed="81"/>
            <rFont val="Tahoma"/>
            <family val="2"/>
          </rPr>
          <t>4) Cas particuliers</t>
        </r>
        <r>
          <rPr>
            <sz val="9"/>
            <color indexed="81"/>
            <rFont val="Tahoma"/>
            <family val="2"/>
          </rPr>
          <t xml:space="preserve">
• Si la limite est essentielle (ex. redirection vers une URL actualisée, contenu en direct comme une bourse), le critère est non applicable.</t>
        </r>
      </text>
    </comment>
    <comment ref="C54" authorId="0" shapeId="0" xr:uid="{6E4A0AD2-7CB1-4099-9581-8E35E7E75832}">
      <text>
        <r>
          <rPr>
            <b/>
            <sz val="9"/>
            <color indexed="81"/>
            <rFont val="Tahoma"/>
            <family val="2"/>
          </rPr>
          <t>Steven Ferreira: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1) Repérer</t>
        </r>
        <r>
          <rPr>
            <sz val="9"/>
            <color indexed="81"/>
            <rFont val="Tahoma"/>
            <family val="2"/>
          </rPr>
          <t xml:space="preserve">
• Tous les contenus en mouvement ou clignotants déclenchés automatiquement :
• Animations CSS, GIFs, sliders.
• Textes défilants.
• Scripts qui font bouger ou clignoter un élément.
</t>
        </r>
        <r>
          <rPr>
            <b/>
            <sz val="9"/>
            <color indexed="81"/>
            <rFont val="Tahoma"/>
            <family val="2"/>
          </rPr>
          <t>2) Vérifier</t>
        </r>
        <r>
          <rPr>
            <sz val="9"/>
            <color indexed="81"/>
            <rFont val="Tahoma"/>
            <family val="2"/>
          </rPr>
          <t xml:space="preserve">
• L’utilisateur a un moyen de contrôle :
• Le mouvement/clignotement dure ≤ 5 secondes.
• OU possibilité d’arrêter et de relancer.
• OU possibilité de masquer/afficher.
• OU possibilité de voir tout le contenu sans mouvement/clignotement.
</t>
        </r>
        <r>
          <rPr>
            <b/>
            <sz val="9"/>
            <color indexed="81"/>
            <rFont val="Tahoma"/>
            <family val="2"/>
          </rPr>
          <t>3) Validation</t>
        </r>
        <r>
          <rPr>
            <sz val="9"/>
            <color indexed="81"/>
            <rFont val="Tahoma"/>
            <family val="2"/>
          </rPr>
          <t xml:space="preserve">
• ✅ Si l’utilisateur garde le contrôle → test validé.
• ❌ Si un contenu bouge/clignote en continu sans option pour le stopper → test échoué.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Steven Ferreira</author>
  </authors>
  <commentList>
    <comment ref="C7" authorId="0" shapeId="0" xr:uid="{F2DA3096-BE03-4A71-BE56-9D879D66D2B9}">
      <text>
        <r>
          <rPr>
            <sz val="9"/>
            <color indexed="81"/>
            <rFont val="Tahoma"/>
            <family val="2"/>
          </rPr>
          <t>Steven Ferreira: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1) Repérer</t>
        </r>
        <r>
          <rPr>
            <sz val="9"/>
            <color indexed="81"/>
            <rFont val="Tahoma"/>
            <family val="2"/>
          </rPr>
          <t xml:space="preserve">
• Images informatives complexes : graphiques, schémas, infographies (&lt;img&gt;, &lt;object&gt;, &lt;embed&gt;, &lt;input type="image"&gt;, &lt;svg&gt;, &lt;canvas&gt;, role="img").
</t>
        </r>
        <r>
          <rPr>
            <b/>
            <sz val="9"/>
            <color indexed="81"/>
            <rFont val="Tahoma"/>
            <family val="2"/>
          </rPr>
          <t>2) Vérifier</t>
        </r>
        <r>
          <rPr>
            <sz val="9"/>
            <color indexed="81"/>
            <rFont val="Tahoma"/>
            <family val="2"/>
          </rPr>
          <t xml:space="preserve">
• Une description détaillée est accessible par :
• Attribut longdesc (ancien mais encore accepté).
• Texte alternatif qui mentionne une description adjacente.
• Lien ou bouton adjacent menant à la description.
• Attributs ARIA (aria-label, aria-labelledby, aria-describedby) reliant l’image à la description.
• Contenu textuel directement présent (ex. dans &lt;canvas&gt; ou via &lt;figcaption&gt;).
</t>
        </r>
        <r>
          <rPr>
            <b/>
            <sz val="9"/>
            <color indexed="81"/>
            <rFont val="Tahoma"/>
            <family val="2"/>
          </rPr>
          <t xml:space="preserve">
3) Validation</t>
        </r>
        <r>
          <rPr>
            <sz val="9"/>
            <color indexed="81"/>
            <rFont val="Tahoma"/>
            <family val="2"/>
          </rPr>
          <t xml:space="preserve">
• ✅ Si la description permet d’obtenir les mêmes infos que l’image → test validé.
• ❌ Si la description est absente, incomplète ou non restituée par les lecteurs d’écran → test échoué.</t>
        </r>
      </text>
    </comment>
    <comment ref="C10" authorId="0" shapeId="0" xr:uid="{2CCFCA40-D10C-4E15-A8E7-C8D74455E5BB}">
      <text>
        <r>
          <rPr>
            <b/>
            <sz val="9"/>
            <color indexed="81"/>
            <rFont val="Tahoma"/>
            <family val="2"/>
          </rPr>
          <t>Steven Ferreira: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1) Repérer</t>
        </r>
        <r>
          <rPr>
            <sz val="9"/>
            <color indexed="81"/>
            <rFont val="Tahoma"/>
            <family val="2"/>
          </rPr>
          <t xml:space="preserve">
• Tous les cas où la couleur seule transmet une information :
• Texte coloré (ex. “les erreurs sont en rouge”).
• Indications de couleur dans une phrase (“les champs verts sont valides”).
• Images où la couleur seule différencie des éléments (graphique, plan, schéma).
• Propriétés CSS (color, background-color) servant à transmettre une info.
• Médias temporels (vidéo) ou non temporels (image, schéma) qui utilisent uniquement la couleur.
</t>
        </r>
        <r>
          <rPr>
            <b/>
            <sz val="9"/>
            <color indexed="81"/>
            <rFont val="Tahoma"/>
            <family val="2"/>
          </rPr>
          <t>2) Vérifier</t>
        </r>
        <r>
          <rPr>
            <sz val="9"/>
            <color indexed="81"/>
            <rFont val="Tahoma"/>
            <family val="2"/>
          </rPr>
          <t xml:space="preserve">
• L’information doit aussi être donnée par un autre moyen :
• Texte (attribut title, label clair, légende).
• Forme ou position.
• Icône ou symbole.
• Effet typographique (gras, souligné, etc.).
</t>
        </r>
        <r>
          <rPr>
            <b/>
            <sz val="9"/>
            <color indexed="81"/>
            <rFont val="Tahoma"/>
            <family val="2"/>
          </rPr>
          <t>3) Validation</t>
        </r>
        <r>
          <rPr>
            <sz val="9"/>
            <color indexed="81"/>
            <rFont val="Tahoma"/>
            <family val="2"/>
          </rPr>
          <t xml:space="preserve">
• ✅ Si toutes les infos données par couleur ont une alternative visuelle ou textuelle → test validé.
• ❌ Si une information repose uniquement sur la couleur → test échoué.</t>
        </r>
      </text>
    </comment>
    <comment ref="C16" authorId="0" shapeId="0" xr:uid="{35EC65FA-58A7-4F93-9318-36E1F60B0611}">
      <text>
        <r>
          <rPr>
            <b/>
            <sz val="9"/>
            <color indexed="81"/>
            <rFont val="Tahoma"/>
            <family val="2"/>
          </rPr>
          <t>Steven Ferreira: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1) Repérer les médias non temporels :</t>
        </r>
        <r>
          <rPr>
            <sz val="9"/>
            <color indexed="81"/>
            <rFont val="Tahoma"/>
            <family val="2"/>
          </rPr>
          <t xml:space="preserve">
• Images fixes (&lt;img&gt;).
• Graphiques, schémas, infographies, </t>
        </r>
        <r>
          <rPr>
            <b/>
            <sz val="9"/>
            <color indexed="81"/>
            <rFont val="Tahoma"/>
            <family val="2"/>
          </rPr>
          <t>images dans des cartes</t>
        </r>
        <r>
          <rPr>
            <sz val="9"/>
            <color indexed="81"/>
            <rFont val="Tahoma"/>
            <family val="2"/>
          </rPr>
          <t xml:space="preserve">.
• Toute ressource visuelle qui n’est pas une vidéo ou un son.
</t>
        </r>
        <r>
          <rPr>
            <b/>
            <sz val="9"/>
            <color indexed="81"/>
            <rFont val="Tahoma"/>
            <family val="2"/>
          </rPr>
          <t>2) Vérifier la présence d’une alternative (Test 4.8.1) :</t>
        </r>
        <r>
          <rPr>
            <sz val="9"/>
            <color indexed="81"/>
            <rFont val="Tahoma"/>
            <family val="2"/>
          </rPr>
          <t xml:space="preserve">
• Un lien ou bouton adjacent clairement identifiable permet d’accéder à une page contenant une alternative.
• OU un lien ou bouton adjacent clairement identifiable permet d’accéder à une alternative dans la même page.
</t>
        </r>
        <r>
          <rPr>
            <b/>
            <sz val="9"/>
            <color indexed="81"/>
            <rFont val="Tahoma"/>
            <family val="2"/>
          </rPr>
          <t>3) Vérifier l’accessibilité de l’alternative (Test 4.8.2) :</t>
        </r>
        <r>
          <rPr>
            <sz val="9"/>
            <color indexed="81"/>
            <rFont val="Tahoma"/>
            <family val="2"/>
          </rPr>
          <t xml:space="preserve">
• La page référencée par le lien ou bouton adjacent est accessible.
• OU l’alternative dans la page, référencée par le lien ou bouton adjacent, est accessible.
</t>
        </r>
        <r>
          <rPr>
            <b/>
            <sz val="9"/>
            <color indexed="81"/>
            <rFont val="Tahoma"/>
            <family val="2"/>
          </rPr>
          <t>4) Cas particuliers (non applicable) :</t>
        </r>
        <r>
          <rPr>
            <sz val="9"/>
            <color indexed="81"/>
            <rFont val="Tahoma"/>
            <family val="2"/>
          </rPr>
          <t xml:space="preserve">
• Si le média non temporel est purement décoratif (aucune information).
• Si le média est diffusé dans un environnement maîtrisé.
• Si le média est inséré via JavaScript en remplacement d’un contenu alternatif déjà présent.
</t>
        </r>
        <r>
          <rPr>
            <b/>
            <sz val="9"/>
            <color indexed="81"/>
            <rFont val="Tahoma"/>
            <family val="2"/>
          </rPr>
          <t>5) Validation du test :</t>
        </r>
        <r>
          <rPr>
            <sz val="9"/>
            <color indexed="81"/>
            <rFont val="Tahoma"/>
            <family val="2"/>
          </rPr>
          <t xml:space="preserve">
• ✅ Si chaque média non temporel a bien une alternative accessible, le test est validé.
• ❌ Si un média informatif n’a aucune alternative disponible ou accessible, le test échoue.</t>
        </r>
      </text>
    </comment>
    <comment ref="C17" authorId="0" shapeId="0" xr:uid="{9CA62CA9-F49A-4FE3-9D2E-065274A9EBCE}">
      <text>
        <r>
          <rPr>
            <b/>
            <sz val="9"/>
            <color indexed="81"/>
            <rFont val="Tahoma"/>
            <family val="2"/>
          </rPr>
          <t>Steven Ferreira: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1) Repérer les médias non temporels avec alternative :</t>
        </r>
        <r>
          <rPr>
            <sz val="9"/>
            <color indexed="81"/>
            <rFont val="Tahoma"/>
            <family val="2"/>
          </rPr>
          <t xml:space="preserve">
• Images fixes (&lt;img&gt;).
• Graphiques, schémas, infographies.
• Tout contenu visuel non temporel pour lequel une alternative existe (texte, page dédiée, description, etc.).
</t>
        </r>
        <r>
          <rPr>
            <b/>
            <sz val="9"/>
            <color indexed="81"/>
            <rFont val="Tahoma"/>
            <family val="2"/>
          </rPr>
          <t xml:space="preserve">
2) Vérifier la pertinence de l’alternative (Test 4.9.1) :</t>
        </r>
        <r>
          <rPr>
            <sz val="9"/>
            <color indexed="81"/>
            <rFont val="Tahoma"/>
            <family val="2"/>
          </rPr>
          <t xml:space="preserve">
• L’alternative doit donner accès au même contenu.
• L’alternative doit offrir des fonctionnalités similaires (ex. un graphique → un tableau de données équivalent).
</t>
        </r>
        <r>
          <rPr>
            <b/>
            <sz val="9"/>
            <color indexed="81"/>
            <rFont val="Tahoma"/>
            <family val="2"/>
          </rPr>
          <t>3) Validation du test :</t>
        </r>
        <r>
          <rPr>
            <sz val="9"/>
            <color indexed="81"/>
            <rFont val="Tahoma"/>
            <family val="2"/>
          </rPr>
          <t xml:space="preserve">
• ✅ Si toutes les alternatives permettent d’obtenir le même contenu et les mêmes fonctionnalités → test validé.
• ❌ Si une alternative est incomplète ou ne reflète pas l’information donnée par le média → test échoué.</t>
        </r>
      </text>
    </comment>
    <comment ref="C22" authorId="0" shapeId="0" xr:uid="{8B6CE3FF-1AF3-467D-BCF2-26EF541A2058}">
      <text>
        <r>
          <rPr>
            <b/>
            <sz val="9"/>
            <color indexed="81"/>
            <rFont val="Tahoma"/>
            <family val="2"/>
          </rPr>
          <t>Steven Ferreira: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1) Repérer</t>
        </r>
        <r>
          <rPr>
            <sz val="9"/>
            <color indexed="81"/>
            <rFont val="Tahoma"/>
            <family val="2"/>
          </rPr>
          <t xml:space="preserve">
• Tous les types de liens :
• Liens texte.
• Liens image (&lt;img&gt;, &lt;area&gt;, &lt;object&gt;, &lt;canvas&gt;, &lt;svg&gt;).
• Liens composites (texte + image).
• Liens SVG (&lt;svg&gt;&lt;a href=...&gt;).
</t>
        </r>
        <r>
          <rPr>
            <b/>
            <sz val="9"/>
            <color indexed="81"/>
            <rFont val="Tahoma"/>
            <family val="2"/>
          </rPr>
          <t>2) Vérifier</t>
        </r>
        <r>
          <rPr>
            <sz val="9"/>
            <color indexed="81"/>
            <rFont val="Tahoma"/>
            <family val="2"/>
          </rPr>
          <t xml:space="preserve">
• L’intitulé du lien (seul ou avec son contexte) permet de comprendre :
• Sa fonction (ce qu’il fait).
• Sa destination (où il mène).
• Pour les liens image → l’alternative textuelle fournit l’intitulé.
• Pour les liens composites → le texte + l’alternative de l’image forment l’intitulé.
• Pour les liens SVG → le nom accessible est issu du contenu &lt;text&gt;, &lt;title&gt; ou ARIA.
• Si un lien a un intitulé visible + un attribut (title, aria-label, aria-labelledby) → le nom accessible doit contenir au moins l’intitulé visible.
</t>
        </r>
        <r>
          <rPr>
            <b/>
            <sz val="9"/>
            <color indexed="81"/>
            <rFont val="Tahoma"/>
            <family val="2"/>
          </rPr>
          <t>3) Validation</t>
        </r>
        <r>
          <rPr>
            <sz val="9"/>
            <color indexed="81"/>
            <rFont val="Tahoma"/>
            <family val="2"/>
          </rPr>
          <t xml:space="preserve">
• ✅ Si chaque lien est compréhensible seul ou avec son contexte, le test est validé.
• ❌ Si un lien est ambigu (ex. “cliquez ici”, icône sans alternative, symbole sans explication) → test échoué.</t>
        </r>
      </text>
    </comment>
    <comment ref="C23" authorId="0" shapeId="0" xr:uid="{12414F89-05A1-4A37-A213-10EE07043AFD}">
      <text>
        <r>
          <rPr>
            <b/>
            <sz val="9"/>
            <color indexed="81"/>
            <rFont val="Tahoma"/>
            <family val="2"/>
          </rPr>
          <t>Steven Ferreira: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1) Repérer</t>
        </r>
        <r>
          <rPr>
            <sz val="9"/>
            <color indexed="81"/>
            <rFont val="Tahoma"/>
            <family val="2"/>
          </rPr>
          <t xml:space="preserve">
Retrouver tous les liens de la page :
les éléments &lt;a&gt; ayant un attribut href,
les éléments pourvus d’un attribut role="link",
les zones cliquables &lt;area&gt; liées à une image.
</t>
        </r>
        <r>
          <rPr>
            <b/>
            <sz val="9"/>
            <color indexed="81"/>
            <rFont val="Tahoma"/>
            <family val="2"/>
          </rPr>
          <t>2) Vérifier</t>
        </r>
        <r>
          <rPr>
            <sz val="9"/>
            <color indexed="81"/>
            <rFont val="Tahoma"/>
            <family val="2"/>
          </rPr>
          <t xml:space="preserve">
Pour chaque lien repéré, contrôler que :
entre &lt;a&gt; et &lt;/a&gt; il existe un intitulé (texte visible, image avec alt, contenu accessible via aria-label ou aria-labelledby),
cet intitulé n’est pas vide, ni réduit à des caractères décoratifs (par ex. … ou icône sans alternative).
👉 L’inspecteur d’accessibilité (onglet </t>
        </r>
        <r>
          <rPr>
            <b/>
            <sz val="9"/>
            <color indexed="81"/>
            <rFont val="Tahoma"/>
            <family val="2"/>
          </rPr>
          <t>Accessibility de Firefox</t>
        </r>
        <r>
          <rPr>
            <sz val="9"/>
            <color indexed="81"/>
            <rFont val="Tahoma"/>
            <family val="2"/>
          </rPr>
          <t xml:space="preserve">) doit afficher un Name non vide pour le lien.
</t>
        </r>
        <r>
          <rPr>
            <b/>
            <sz val="9"/>
            <color indexed="81"/>
            <rFont val="Tahoma"/>
            <family val="2"/>
          </rPr>
          <t>3) Validation</t>
        </r>
        <r>
          <rPr>
            <sz val="9"/>
            <color indexed="81"/>
            <rFont val="Tahoma"/>
            <family val="2"/>
          </rPr>
          <t xml:space="preserve">
Si chaque lien possède un intitulé valide et non vide → test validé.
Si un ou plusieurs liens n’ont aucun intitulé (contenu vide, image sans alt, icône seule sans texte alternatif) → non conforme.</t>
        </r>
      </text>
    </comment>
    <comment ref="C36" authorId="0" shapeId="0" xr:uid="{21F5D660-7CF6-4682-9D42-22E6E108025D}">
      <text>
        <r>
          <rPr>
            <b/>
            <sz val="9"/>
            <color indexed="81"/>
            <rFont val="Tahoma"/>
            <family val="2"/>
          </rPr>
          <t>Steven Ferreira:</t>
        </r>
        <r>
          <rPr>
            <sz val="9"/>
            <color indexed="81"/>
            <rFont val="Tahoma"/>
            <family val="2"/>
          </rPr>
          <t xml:space="preserve">
Conseil pratique : Les outils comme </t>
        </r>
        <r>
          <rPr>
            <b/>
            <sz val="9"/>
            <color indexed="81"/>
            <rFont val="Tahoma"/>
            <family val="2"/>
          </rPr>
          <t xml:space="preserve">axe DevTools </t>
        </r>
        <r>
          <rPr>
            <sz val="9"/>
            <color indexed="81"/>
            <rFont val="Tahoma"/>
            <family val="2"/>
          </rPr>
          <t xml:space="preserve">détectent automatiquement les erreurs courantes liées à aria-hidden="true" (par exemple quand un élément caché contient un bouton ou un lien focusable). Vérifie toujours ces alertes, car elles révèlent une non-conformité typique du critère 10.8.
</t>
        </r>
        <r>
          <rPr>
            <b/>
            <sz val="9"/>
            <color indexed="81"/>
            <rFont val="Tahoma"/>
            <family val="2"/>
          </rPr>
          <t>1) Repérer</t>
        </r>
        <r>
          <rPr>
            <sz val="9"/>
            <color indexed="81"/>
            <rFont val="Tahoma"/>
            <family val="2"/>
          </rPr>
          <t xml:space="preserve">
• Tous les contenus cachés via :
• Attribut hidden.
• Attribut aria-hidden.
• CSS (display:none, visibility:hidden, etc.).
</t>
        </r>
        <r>
          <rPr>
            <b/>
            <sz val="9"/>
            <color indexed="81"/>
            <rFont val="Tahoma"/>
            <family val="2"/>
          </rPr>
          <t xml:space="preserve">
2) Vérifier</t>
        </r>
        <r>
          <rPr>
            <sz val="9"/>
            <color indexed="81"/>
            <rFont val="Tahoma"/>
            <family val="2"/>
          </rPr>
          <t xml:space="preserve">
• Si le contenu est réellement décoratif/technique, il doit être ignoré par les technologies d’assistance.
• Si le contenu doit être utile à l’utilisateur, il doit être restitué :
• Après une action au clavier ou à la souris sur un élément qui le déclenche.
• OU après un repositionnement du focus programmé dessus.
</t>
        </r>
        <r>
          <rPr>
            <b/>
            <sz val="9"/>
            <color indexed="81"/>
            <rFont val="Tahoma"/>
            <family val="2"/>
          </rPr>
          <t>3) Validation</t>
        </r>
        <r>
          <rPr>
            <sz val="9"/>
            <color indexed="81"/>
            <rFont val="Tahoma"/>
            <family val="2"/>
          </rPr>
          <t xml:space="preserve">
• ✅ Si chaque contenu caché est correctement ignoré ou restitué → test validé.
• ❌ Si un contenu utile reste inaccessible aux technologies d’assistance → test échoué.</t>
        </r>
      </text>
    </comment>
    <comment ref="C37" authorId="0" shapeId="0" xr:uid="{BD806E6B-0CCA-4232-9639-915CE6B0E267}">
      <text>
        <r>
          <rPr>
            <b/>
            <sz val="9"/>
            <color indexed="81"/>
            <rFont val="Tahoma"/>
            <family val="2"/>
          </rPr>
          <t xml:space="preserve">1) Repérer
</t>
        </r>
        <r>
          <rPr>
            <sz val="9"/>
            <color indexed="81"/>
            <rFont val="Tahoma"/>
            <family val="2"/>
          </rPr>
          <t>Identifier dans la page :</t>
        </r>
        <r>
          <rPr>
            <b/>
            <sz val="9"/>
            <color indexed="81"/>
            <rFont val="Tahoma"/>
            <family val="2"/>
          </rPr>
          <t xml:space="preserve">
-</t>
        </r>
        <r>
          <rPr>
            <sz val="9"/>
            <color indexed="81"/>
            <rFont val="Tahoma"/>
            <family val="2"/>
          </rPr>
          <t>Textes mis en valeur uniquement par couleur, forme ou taille.
- Informations données par la position : « voir colonne de droite », « bouton en haut », etc.
- Graphiques où seules les formes ou couleurs distinguent les éléments.
- Médias (vidéo, audio, image, infographie) où une différence repose uniquement sur la présentation visuelle.</t>
        </r>
        <r>
          <rPr>
            <b/>
            <sz val="9"/>
            <color indexed="81"/>
            <rFont val="Tahoma"/>
            <family val="2"/>
          </rPr>
          <t xml:space="preserve">
2) Vérifier
</t>
        </r>
        <r>
          <rPr>
            <sz val="9"/>
            <color indexed="81"/>
            <rFont val="Tahoma"/>
            <family val="2"/>
          </rPr>
          <t>- Demander : si j’enlève la couleur, la forme, la taille ou la position, est-ce que l’information reste compréhensible ?
- Chercher un équivalent textuel ou symbolique clair.</t>
        </r>
        <r>
          <rPr>
            <b/>
            <sz val="9"/>
            <color indexed="81"/>
            <rFont val="Tahoma"/>
            <family val="2"/>
          </rPr>
          <t xml:space="preserve">
3) Validation
</t>
        </r>
        <r>
          <rPr>
            <sz val="9"/>
            <color indexed="81"/>
            <rFont val="Tahoma"/>
            <family val="2"/>
          </rPr>
          <t>- ✅ Conforme : l’information est disponible autrement (texte, légende, icône, label, description).
- ❌ Non conforme : l’information repose uniquement sur un indice visuel (taille, couleur, emplacement).</t>
        </r>
        <r>
          <rPr>
            <b/>
            <sz val="9"/>
            <color indexed="81"/>
            <rFont val="Tahoma"/>
            <family val="2"/>
          </rPr>
          <t xml:space="preserve">
Exemples:
</t>
        </r>
        <r>
          <rPr>
            <sz val="9"/>
            <color indexed="81"/>
            <rFont val="Tahoma"/>
            <family val="2"/>
          </rPr>
          <t>- Erreur (texte) : « Les champs obligatoires sont en rouge » → repose uniquement sur la couleur.
- Correct (texte) : « Les champs obligatoires sont indiqués par une étoile (*) » + mention textuelle « champ obligatoire ».
- Erreur (image) : un plan où seule la couleur distingue les zones.
- Correct (image) : plan avec couleurs + légendes textuelles (« Zone A – Entrée visiteurs », « Zone B – Parking »).
- Erreur (média) : une vidéo où on dit seulement « cliquez sur le carré » sans autre explication.
- Correct (média) : la vidéo indique « cliquez sur le carré bleu avec l’étiquette Valider ».</t>
        </r>
      </text>
    </comment>
    <comment ref="C38" authorId="0" shapeId="0" xr:uid="{5D649DBC-E9BD-450B-888B-AD6B8A1F0006}">
      <text>
        <r>
          <rPr>
            <b/>
            <sz val="9"/>
            <color indexed="81"/>
            <rFont val="Tahoma"/>
            <family val="2"/>
          </rPr>
          <t>Steven Ferreira: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1) Repérer</t>
        </r>
        <r>
          <rPr>
            <sz val="9"/>
            <color indexed="81"/>
            <rFont val="Tahoma"/>
            <family val="2"/>
          </rPr>
          <t xml:space="preserve">
Reprendre les mêmes cas que pour 10.9, mais se concentrer sur les alternatives déjà mises en place (texte, icône, légende, description).
</t>
        </r>
        <r>
          <rPr>
            <b/>
            <sz val="9"/>
            <color indexed="81"/>
            <rFont val="Tahoma"/>
            <family val="2"/>
          </rPr>
          <t>2) Vérifier</t>
        </r>
        <r>
          <rPr>
            <sz val="9"/>
            <color indexed="81"/>
            <rFont val="Tahoma"/>
            <family val="2"/>
          </rPr>
          <t xml:space="preserve">
- L’alternative est-elle pertinente et compréhensible pour tous les utilisateurs et tous les contextes (lecteur d’écran, impression N&amp;B, basse vision, etc.) ?
- Vérifier que la légende ou l’annotation donne bien l’info sans ambiguïté.
</t>
        </r>
        <r>
          <rPr>
            <b/>
            <sz val="9"/>
            <color indexed="81"/>
            <rFont val="Tahoma"/>
            <family val="2"/>
          </rPr>
          <t>3) Validation</t>
        </r>
        <r>
          <rPr>
            <sz val="9"/>
            <color indexed="81"/>
            <rFont val="Tahoma"/>
            <family val="2"/>
          </rPr>
          <t xml:space="preserve">
- ✅ Conforme : l’alternative transmet réellement la même information que la forme/taille/position.
- ❌ Non conforme : l’alternative existe mais est insuffisante, ambiguë, ou ne s’applique pas dans tous les contextes.
</t>
        </r>
        <r>
          <rPr>
            <b/>
            <sz val="9"/>
            <color indexed="81"/>
            <rFont val="Tahoma"/>
            <family val="2"/>
          </rPr>
          <t>Exemples:</t>
        </r>
        <r>
          <rPr>
            <sz val="9"/>
            <color indexed="81"/>
            <rFont val="Tahoma"/>
            <family val="2"/>
          </rPr>
          <t xml:space="preserve">
- Erreur (texte) : champs obligatoires signalés par une étoile, mais sans explication → un lecteur d’écran va lire « étoile », ce qui n’est pas clair.
- Correct (texte) : étoile + mention textuelle « champ obligatoire ».
- Erreur (image) : un graphique avec des couleurs + une légende « en bleu = hommes, en vert = femmes » → si l’impression est en N&amp;B, l’info est perdue.
- Correct (image) : graphique avec couleurs + motifs distinctifs (hachures, cercles) et légende textuelle claire.
- Erreur (média temporel) : une vidéo avec sous-titres « [musique dramatique] » pour indiquer une tension → pas assez pertinent si l’émotion est essentielle au scénario.
- Correct (média temporel) : sous-titres détaillant l’action (« Bruit de tonnerre – un personnage sursaute »).</t>
        </r>
      </text>
    </comment>
    <comment ref="C39" authorId="0" shapeId="0" xr:uid="{59BF7EAC-6BC6-4CB2-8F39-99A382C024DE}">
      <text>
        <r>
          <rPr>
            <b/>
            <sz val="9"/>
            <color indexed="81"/>
            <rFont val="Tahoma"/>
            <family val="2"/>
          </rPr>
          <t>Steven Ferreira: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1) Repérer les contenus additionnels déclenchés uniquement par CSS :</t>
        </r>
        <r>
          <rPr>
            <sz val="9"/>
            <color indexed="81"/>
            <rFont val="Tahoma"/>
            <family val="2"/>
          </rPr>
          <t xml:space="preserve">
• Éléments visibles uniquement au survol (pseudo-classe :hover).
• Éléments visibles uniquement à la prise de focus (pseudo-classe :focus).
</t>
        </r>
        <r>
          <rPr>
            <b/>
            <sz val="9"/>
            <color indexed="81"/>
            <rFont val="Tahoma"/>
            <family val="2"/>
          </rPr>
          <t>2) Vérifier les contenus déclenchés par le survol (Test 10.14.1) :</t>
        </r>
        <r>
          <rPr>
            <sz val="9"/>
            <color indexed="81"/>
            <rFont val="Tahoma"/>
            <family val="2"/>
          </rPr>
          <t xml:space="preserve">
• Les contenus additionnels doivent aussi apparaître à l’activation du composant via clavier ou dispositif de pointage.
• OU apparaître à la prise de focus du composant.
• OU apparaître via l’activation ou la prise de focus d’un autre composant.
</t>
        </r>
        <r>
          <rPr>
            <b/>
            <sz val="9"/>
            <color indexed="81"/>
            <rFont val="Tahoma"/>
            <family val="2"/>
          </rPr>
          <t>3) Vérifier les contenus déclenchés par le focus (Test 10.14.2) :</t>
        </r>
        <r>
          <rPr>
            <sz val="9"/>
            <color indexed="81"/>
            <rFont val="Tahoma"/>
            <family val="2"/>
          </rPr>
          <t xml:space="preserve">
• Les contenus additionnels doivent aussi apparaître à l’activation du composant via clavier ou dispositif de pointage.
• OU apparaître au survol du composant.
• OU apparaître via l’activation ou le survol d’un autre composant.
</t>
        </r>
        <r>
          <rPr>
            <b/>
            <sz val="9"/>
            <color indexed="81"/>
            <rFont val="Tahoma"/>
            <family val="2"/>
          </rPr>
          <t>4) Validation du test :</t>
        </r>
        <r>
          <rPr>
            <sz val="9"/>
            <color indexed="81"/>
            <rFont val="Tahoma"/>
            <family val="2"/>
          </rPr>
          <t xml:space="preserve">
• ✅ Si les contenus additionnels sont accessibles à la fois au clavier et par tout dispositif de pointage, le test est validé.
• ❌ Si un contenu apparaît uniquement par le survol ou uniquement par le focus, sans autre moyen d’y accéder, le test échoue.</t>
        </r>
      </text>
    </comment>
    <comment ref="C46" authorId="0" shapeId="0" xr:uid="{7FC54C32-95A0-4B9B-ACEC-3481E466F90B}">
      <text>
        <r>
          <rPr>
            <b/>
            <sz val="9"/>
            <color indexed="81"/>
            <rFont val="Tahoma"/>
            <family val="2"/>
          </rPr>
          <t>Steven Ferreira: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1) Repérer les champs soumis à un contrôle de saisie :</t>
        </r>
        <r>
          <rPr>
            <sz val="9"/>
            <color indexed="81"/>
            <rFont val="Tahoma"/>
            <family val="2"/>
          </rPr>
          <t xml:space="preserve">
• Champs obligatoires (nom, email, message, etc.).
• Champs soumis à une contrainte de format (ex. email, téléphone).
</t>
        </r>
        <r>
          <rPr>
            <b/>
            <sz val="9"/>
            <color indexed="81"/>
            <rFont val="Tahoma"/>
            <family val="2"/>
          </rPr>
          <t>2) Identifier la présence d’indications avant saisie 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 xml:space="preserve">• Les champs obligatoires sont-ils signalés visuellement ou textuellement ?
• L’utilisateur est-il informé des contraintes de format avant la validation ?
</t>
        </r>
        <r>
          <rPr>
            <b/>
            <sz val="9"/>
            <color indexed="81"/>
            <rFont val="Tahoma"/>
            <family val="2"/>
          </rPr>
          <t>3) Vérifier le comportement à la validation :</t>
        </r>
        <r>
          <rPr>
            <sz val="9"/>
            <color indexed="81"/>
            <rFont val="Tahoma"/>
            <family val="2"/>
          </rPr>
          <t xml:space="preserve">
• Le formulaire affiche-t-il des messages d’erreur clairs et contextualisés ?
• Les erreurs sont-elles signalées de manière accessible (texte, focus clavier, ARIA) ?
</t>
        </r>
        <r>
          <rPr>
            <b/>
            <sz val="9"/>
            <color indexed="81"/>
            <rFont val="Tahoma"/>
            <family val="2"/>
          </rPr>
          <t xml:space="preserve">
4) Validation du test 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✖ Si les champs obligatoires ne sont pas indiqués avant saisie ou si les erreurs ne sont pas signalées clairement → test échoué.</t>
        </r>
        <r>
          <rPr>
            <sz val="9"/>
            <color indexed="81"/>
            <rFont val="Tahoma"/>
            <family val="2"/>
          </rPr>
          <t xml:space="preserve">
✔ Si tous les champs obligatoires et contraintes sont indiqués et les erreurs bien restituées → test validé.</t>
        </r>
      </text>
    </comment>
    <comment ref="C52" authorId="0" shapeId="0" xr:uid="{BD193BEB-EA2F-460C-9F0B-F0FBB4354C01}">
      <text>
        <r>
          <rPr>
            <b/>
            <sz val="9"/>
            <color indexed="81"/>
            <rFont val="Tahoma"/>
            <family val="2"/>
          </rPr>
          <t>Steven Ferreira: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1) Repérer</t>
        </r>
        <r>
          <rPr>
            <sz val="9"/>
            <color indexed="81"/>
            <rFont val="Tahoma"/>
            <family val="2"/>
          </rPr>
          <t xml:space="preserve">
• Rafraîchissements automatiques (&lt;meta refresh&gt;, &lt;object&gt;, &lt;embed&gt;, &lt;svg&gt;, &lt;canvas&gt;).
• Redirections via &lt;meta&gt; ou scripts.
• Limites de temps de session (ex. authentification).
</t>
        </r>
        <r>
          <rPr>
            <b/>
            <sz val="9"/>
            <color indexed="81"/>
            <rFont val="Tahoma"/>
            <family val="2"/>
          </rPr>
          <t>2) Vérifier selon le cas</t>
        </r>
        <r>
          <rPr>
            <sz val="9"/>
            <color indexed="81"/>
            <rFont val="Tahoma"/>
            <family val="2"/>
          </rPr>
          <t xml:space="preserve">
a) Rafraîchissement (Test 13.1.1)
• L’utilisateur peut arrêter/relancer.
• OU prolonger le délai d’au moins ×10.
• OU être averti et avoir ≥ 20s pour réagir.
• OU délai ≥ 20h.
b) Redirection via &lt;meta&gt; (Test 13.1.2)
• Doit être immédiate (content="0;URL=...").
c) Redirection via script (Test 13.1.3)
• L’utilisateur peut arrêter/relancer.
• OU prolonger le délai d’au moins ×10.
• OU être averti et avoir ≥ 20s pour réagir.
• OU délai ≥ 20h.
d) Limite de session (Test 13.1.4)
• L’utilisateur peut supprimer la limite.
• OU prolonger la limite.
• OU délai ≥ 20h.
</t>
        </r>
        <r>
          <rPr>
            <b/>
            <sz val="9"/>
            <color indexed="81"/>
            <rFont val="Tahoma"/>
            <family val="2"/>
          </rPr>
          <t>3) Validation</t>
        </r>
        <r>
          <rPr>
            <sz val="9"/>
            <color indexed="81"/>
            <rFont val="Tahoma"/>
            <family val="2"/>
          </rPr>
          <t xml:space="preserve">
• ✅ Si pour chaque cas, un mécanisme de contrôle est présent → test validé.
• ❌ Si l’utilisateur subit une limite de temps sans contrôle → test échoué.
</t>
        </r>
        <r>
          <rPr>
            <b/>
            <sz val="9"/>
            <color indexed="81"/>
            <rFont val="Tahoma"/>
            <family val="2"/>
          </rPr>
          <t>4) Cas particuliers</t>
        </r>
        <r>
          <rPr>
            <sz val="9"/>
            <color indexed="81"/>
            <rFont val="Tahoma"/>
            <family val="2"/>
          </rPr>
          <t xml:space="preserve">
• Si la limite est essentielle (ex. redirection vers une URL actualisée, contenu en direct comme une bourse), le critère est non applicable.</t>
        </r>
      </text>
    </comment>
    <comment ref="C54" authorId="0" shapeId="0" xr:uid="{CDB5EFB5-C90C-4C21-BB81-6B95D0BF3652}">
      <text>
        <r>
          <rPr>
            <b/>
            <sz val="9"/>
            <color indexed="81"/>
            <rFont val="Tahoma"/>
            <family val="2"/>
          </rPr>
          <t>Steven Ferreira: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1) Repérer</t>
        </r>
        <r>
          <rPr>
            <sz val="9"/>
            <color indexed="81"/>
            <rFont val="Tahoma"/>
            <family val="2"/>
          </rPr>
          <t xml:space="preserve">
• Tous les contenus en mouvement ou clignotants déclenchés automatiquement :
• Animations CSS, GIFs, sliders.
• Textes défilants.
• Scripts qui font bouger ou clignoter un élément.
</t>
        </r>
        <r>
          <rPr>
            <b/>
            <sz val="9"/>
            <color indexed="81"/>
            <rFont val="Tahoma"/>
            <family val="2"/>
          </rPr>
          <t>2) Vérifier</t>
        </r>
        <r>
          <rPr>
            <sz val="9"/>
            <color indexed="81"/>
            <rFont val="Tahoma"/>
            <family val="2"/>
          </rPr>
          <t xml:space="preserve">
• L’utilisateur a un moyen de contrôle :
• Le mouvement/clignotement dure ≤ 5 secondes.
• OU possibilité d’arrêter et de relancer.
• OU possibilité de masquer/afficher.
• OU possibilité de voir tout le contenu sans mouvement/clignotement.
</t>
        </r>
        <r>
          <rPr>
            <b/>
            <sz val="9"/>
            <color indexed="81"/>
            <rFont val="Tahoma"/>
            <family val="2"/>
          </rPr>
          <t>3) Validation</t>
        </r>
        <r>
          <rPr>
            <sz val="9"/>
            <color indexed="81"/>
            <rFont val="Tahoma"/>
            <family val="2"/>
          </rPr>
          <t xml:space="preserve">
• ✅ Si l’utilisateur garde le contrôle → test validé.
• ❌ Si un contenu bouge/clignote en continu sans option pour le stopper → test échoué.</t>
        </r>
      </text>
    </comment>
  </commentList>
</comments>
</file>

<file path=xl/sharedStrings.xml><?xml version="1.0" encoding="utf-8"?>
<sst xmlns="http://schemas.openxmlformats.org/spreadsheetml/2006/main" count="614" uniqueCount="163">
  <si>
    <t>AUDIT SIMPLIFIÉ – GRILLE D'ÉVALUATION</t>
  </si>
  <si>
    <t>Échantillon évalué</t>
  </si>
  <si>
    <t>Site :</t>
  </si>
  <si>
    <t>N° page</t>
  </si>
  <si>
    <t>Titre de la page</t>
  </si>
  <si>
    <t>URL</t>
  </si>
  <si>
    <t>P01</t>
  </si>
  <si>
    <t>P02</t>
  </si>
  <si>
    <t>P03</t>
  </si>
  <si>
    <t>Niveau</t>
  </si>
  <si>
    <t>C</t>
  </si>
  <si>
    <t>NC</t>
  </si>
  <si>
    <t>NA</t>
  </si>
  <si>
    <t>NT</t>
  </si>
  <si>
    <t>TOTAL D</t>
  </si>
  <si>
    <t>A</t>
  </si>
  <si>
    <t>AA</t>
  </si>
  <si>
    <t>TOTAL C</t>
  </si>
  <si>
    <t>TOTAL NC</t>
  </si>
  <si>
    <t>TOTAL NA</t>
  </si>
  <si>
    <t>TAUX MOYEN</t>
  </si>
  <si>
    <t>IMAGES</t>
  </si>
  <si>
    <t>CADRES</t>
  </si>
  <si>
    <t>COULEURS</t>
  </si>
  <si>
    <t>MULTIMÉDIA</t>
  </si>
  <si>
    <t>TABLEAUX</t>
  </si>
  <si>
    <t>LIENS</t>
  </si>
  <si>
    <t>SCRIPTS</t>
  </si>
  <si>
    <t>ÉLÉMENTS OBLIGATOIRES</t>
  </si>
  <si>
    <t>STRUCTURATION</t>
  </si>
  <si>
    <t>PRÉSENTATION</t>
  </si>
  <si>
    <t>FORMULAIRES</t>
  </si>
  <si>
    <t>NAVIGATION</t>
  </si>
  <si>
    <t>CONSULTATION</t>
  </si>
  <si>
    <t>Critère</t>
  </si>
  <si>
    <t>Recommandation</t>
  </si>
  <si>
    <t>Chaque image porteuse d’information a-t-elle une alternative textuelle ?</t>
  </si>
  <si>
    <t>Chaque image de décoration est-elle correctement ignorée par les technologies d’assistance ?</t>
  </si>
  <si>
    <t>Pour chaque image porteuse d'information ayant une alternative textuelle, cette alternative est-elle pertinente (hors cas particuliers) ?</t>
  </si>
  <si>
    <t>Pour chaque image utilisée comme CAPTCHA ou comme image-test, ayant une alternative textuelle, cette alternative permet-elle d’identifier la nature et la fonction de l’image ?</t>
  </si>
  <si>
    <t>Pour chaque image utilisée comme CAPTCHA, une solution d’accès alternatif au contenu ou à la fonction du CAPTCHA est-elle présente ?</t>
  </si>
  <si>
    <t>Chaque image porteuse d’information a-t-elle, si nécessaire, une description détaillée ?</t>
  </si>
  <si>
    <t>Pour chaque image porteuse d’information ayant une description détaillée, cette description est-elle pertinente ?</t>
  </si>
  <si>
    <t>Chaque cadre a-t-il un titre de cadre ?</t>
  </si>
  <si>
    <t>Dans chaque page web, l’information ne doit pas être donnée uniquement par la couleur. Cette règle est-elle respectée ?</t>
  </si>
  <si>
    <t>Dans chaque page web, le contraste entre la couleur du texte et la couleur de son arrière-plan est-il suffisamment élevé (hors cas particuliers) ?</t>
  </si>
  <si>
    <t>Chaque média temporel pré-enregistré a-t-il, si nécessaire, une transcription textuelle ou une audiodescription (hors cas particuliers) ?</t>
  </si>
  <si>
    <t>Pour chaque média temporel pré-enregistré ayant une transcription textuelle ou une audiodescription synchronisée, celles-ci sont-elles pertinentes (hors cas particuliers) ?</t>
  </si>
  <si>
    <t>Chaque média temporel synchronisé pré-enregistré a-t-il, si nécessaire, des sous-titres synchronisés (hors cas particuliers) ?</t>
  </si>
  <si>
    <t>Pour chaque média temporel synchronisé pré-enregistré ayant des sous-titres synchronisés, ces sous-titres sont-ils pertinents ?</t>
  </si>
  <si>
    <t>Chaque média non temporel a-t-il, si nécessaire, une alternative (hors cas particuliers) ?</t>
  </si>
  <si>
    <t>Pour chaque média non temporel ayant une alternative, cette alternative est-elle pertinente ?</t>
  </si>
  <si>
    <t>Chaque son déclenché automatiquement est-il contrôlable par l’utilisateur ?</t>
  </si>
  <si>
    <t>La consultation de chaque média temporel est-elle, si nécessaire, contrôlable par le clavier et tout dispositif de pointage ?</t>
  </si>
  <si>
    <t>Pour chaque tableau de données, chaque en-tête de colonnes et chaque en-tête de lignes sont-ils correctement déclarés ?</t>
  </si>
  <si>
    <t>Pour chaque tableau de données, la technique appropriée permettant d’associer chaque cellule avec ses en-têtes est-elle utilisée (hors cas particuliers) ?</t>
  </si>
  <si>
    <t>Chaque lien est-il explicite (hors cas particuliers) ?</t>
  </si>
  <si>
    <t>Dans chaque page web, chaque lien a-t-il un intitulé ?</t>
  </si>
  <si>
    <t>Chaque script est-il contrôlable par le clavier et par tout dispositif de pointage (hors cas particuliers) ?</t>
  </si>
  <si>
    <t>Pour chaque page web, le code source généré est-il valide selon le type de document spécifié (hors cas particuliers) ?</t>
  </si>
  <si>
    <t>Dans chaque page web, la langue par défaut est-elle présente ?</t>
  </si>
  <si>
    <t>Pour chaque page web ayant une langue par défaut, le code de langue est-il pertinent ?</t>
  </si>
  <si>
    <t>Chaque page web a-t-elle un titre de page ?</t>
  </si>
  <si>
    <t>Pour chaque page web ayant un titre de page, ce titre est-il pertinent ?</t>
  </si>
  <si>
    <t>Dans chaque page web, chaque changement de langue est-il indiqué dans le code source (hors cas particuliers) ?</t>
  </si>
  <si>
    <t>Dans chaque page web, le code de langue de chaque changement de langue est-il valide et pertinent ?</t>
  </si>
  <si>
    <t>Dans chaque page web, l’information est-elle structurée par l’utilisation appropriée de titres ?</t>
  </si>
  <si>
    <t>Dans chaque page web, la structure du document est-elle cohérente (hors cas particuliers) ?</t>
  </si>
  <si>
    <t>Dans chaque page web, pour chaque élément recevant le focus, la prise de focus est-elle visible ?</t>
  </si>
  <si>
    <t>Pour chaque page web, les contenus cachés ont-ils vocation à être ignorés par les technologies d’assistance ?</t>
  </si>
  <si>
    <t>Dans chaque page web, l’information ne doit pas être donnée uniquement par la forme, taille ou position. Cette règle est-elle respectée ?</t>
  </si>
  <si>
    <t>Dans chaque page web, l’information ne doit pas être donnée par la forme, taille ou position uniquement. Cette règle est-elle implémentée de façon pertinente ?</t>
  </si>
  <si>
    <t>Dans chaque page web, les contenus additionnels apparaissant via les styles CSS uniquement peuvent-ils être rendus visibles au clavier et par tout dispositif de pointage ?</t>
  </si>
  <si>
    <t>Chaque champ de formulaire a-t-il une étiquette ?</t>
  </si>
  <si>
    <t>Chaque étiquette associée à un champ de formulaire est-elle pertinente (hors cas particuliers) ?</t>
  </si>
  <si>
    <t>Dans chaque formulaire, les champs de même nature sont-ils regroupés, si nécessaire ?</t>
  </si>
  <si>
    <t>Dans chaque formulaire, chaque regroupement de champs de même nature a-t-il une légende ?</t>
  </si>
  <si>
    <t>Dans chaque formulaire, chaque légende associée à un regroupement de champs de même nature est-elle pertinente ?</t>
  </si>
  <si>
    <t>Dans chaque formulaire, l’intitulé de chaque bouton est-il pertinent (hors cas particuliers) ?</t>
  </si>
  <si>
    <t>Dans chaque formulaire, le contrôle de saisie est-il utilisé de manière pertinente (hors cas particuliers) ?</t>
  </si>
  <si>
    <t>Les zones de regroupement de contenus présentes dans plusieurs pages web (zones d’en-tête, de navigation principale, de contenu principal, de pied de page et de moteur de recherche) peuvent-elles être atteintes ou évitées ?</t>
  </si>
  <si>
    <t>Dans chaque page web, un lien d’évitement ou d’accès rapide à la zone de contenu principal est-il présent (hors cas particuliers) ?</t>
  </si>
  <si>
    <t>Dans chaque page web, l’ordre de tabulation est-il cohérent ?</t>
  </si>
  <si>
    <t>Dans chaque page web, la navigation ne doit pas contenir de piège au clavier. Cette règle est-elle respectée ?</t>
  </si>
  <si>
    <t>Dans chaque page web, les contenus additionnels apparaissant au survol, à la prise de focus ou à l’activation d’un composant d’interface sont-ils si nécessaire atteignables au clavier ?</t>
  </si>
  <si>
    <t>Pour chaque page web, l’utilisateur a-t-il le contrôle de chaque limite de temps modifiant le contenu (hors cas particuliers) ?</t>
  </si>
  <si>
    <t>Dans chaque page web, les changements brusques de luminosité ou les effets de flash sont-ils correctement utilisés ?</t>
  </si>
  <si>
    <t>Dans chaque page web, chaque contenu en mouvement ou clignotant est-il contrôlable par l’utilisateur ?</t>
  </si>
  <si>
    <t>Synthèse par thématiques et par statuts</t>
  </si>
  <si>
    <t>Statut</t>
  </si>
  <si>
    <t>D</t>
  </si>
  <si>
    <t>Pourcentage de critères respectés (somme des critères conformes divisée par le nombre de critères applicables) :</t>
  </si>
  <si>
    <t>Taux moyen de conformité du service en ligne (moyenne des taux de conformité de chaque page) :</t>
  </si>
  <si>
    <t>start %</t>
  </si>
  <si>
    <t>end %</t>
  </si>
  <si>
    <t>Label</t>
  </si>
  <si>
    <t>très faible</t>
  </si>
  <si>
    <t>faible</t>
  </si>
  <si>
    <t>moyen</t>
  </si>
  <si>
    <t>bon</t>
  </si>
  <si>
    <t>très bon</t>
  </si>
  <si>
    <t>Dérogation</t>
  </si>
  <si>
    <t>Problèmes détectés</t>
  </si>
  <si>
    <t>Critère-INC</t>
  </si>
  <si>
    <t>Statut-Auto-NA</t>
  </si>
  <si>
    <t>Check-Problèmes-Détectés</t>
  </si>
  <si>
    <t>Page</t>
  </si>
  <si>
    <t>Messages NC</t>
  </si>
  <si>
    <t>Message NC Corrigé</t>
  </si>
  <si>
    <t>Auto-NA</t>
  </si>
  <si>
    <t>12.6</t>
  </si>
  <si>
    <t>12.7</t>
  </si>
  <si>
    <t>12.8</t>
  </si>
  <si>
    <t>12.9</t>
  </si>
  <si>
    <t>12.11</t>
  </si>
  <si>
    <t>1.1</t>
  </si>
  <si>
    <t>1.2</t>
  </si>
  <si>
    <t>1.3</t>
  </si>
  <si>
    <t>1.4</t>
  </si>
  <si>
    <t>1.5</t>
  </si>
  <si>
    <t>1.6</t>
  </si>
  <si>
    <t>1.7</t>
  </si>
  <si>
    <t>3.1</t>
  </si>
  <si>
    <t>3.2</t>
  </si>
  <si>
    <t>4.1</t>
  </si>
  <si>
    <t>4.2</t>
  </si>
  <si>
    <t>4.3</t>
  </si>
  <si>
    <t>4.4</t>
  </si>
  <si>
    <t>4.8</t>
  </si>
  <si>
    <t>4.9</t>
  </si>
  <si>
    <t>4.10</t>
  </si>
  <si>
    <t>4.11</t>
  </si>
  <si>
    <t>5.6</t>
  </si>
  <si>
    <t>5.7</t>
  </si>
  <si>
    <t>6.1</t>
  </si>
  <si>
    <t>6.2</t>
  </si>
  <si>
    <t>7.3</t>
  </si>
  <si>
    <t>8.2</t>
  </si>
  <si>
    <t>8.3</t>
  </si>
  <si>
    <t>8.4</t>
  </si>
  <si>
    <t>8.5</t>
  </si>
  <si>
    <t>8.6</t>
  </si>
  <si>
    <t>8.7</t>
  </si>
  <si>
    <t>8.8</t>
  </si>
  <si>
    <t>9.1</t>
  </si>
  <si>
    <t>9.2</t>
  </si>
  <si>
    <t>10.7</t>
  </si>
  <si>
    <t>10.8</t>
  </si>
  <si>
    <t>10.9</t>
  </si>
  <si>
    <t>10.10</t>
  </si>
  <si>
    <t>10.14</t>
  </si>
  <si>
    <t>11.1</t>
  </si>
  <si>
    <t>11.2</t>
  </si>
  <si>
    <t>11.5</t>
  </si>
  <si>
    <t>11.6</t>
  </si>
  <si>
    <t>11.7</t>
  </si>
  <si>
    <t>11.9</t>
  </si>
  <si>
    <t>11.10</t>
  </si>
  <si>
    <t>13.1</t>
  </si>
  <si>
    <t>13.7</t>
  </si>
  <si>
    <t>13.8</t>
  </si>
  <si>
    <t>Date :</t>
  </si>
  <si>
    <t>Chaque page web est-elle définie par un type de document 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</si>
</sst>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 [$€-40C];[Red]\-#,##0.00\ [$€-40C]"/>
    <numFmt numFmtId="165" formatCode="0.000000%"/>
  </numFmts>
  <fonts count="38" x14ac:knownFonts="1">
    <font>
      <sz val="12"/>
      <color indexed="64"/>
      <name val="Arial"/>
    </font>
    <font>
      <sz val="11"/>
      <color theme="1"/>
      <name val="Calibri"/>
      <family val="2"/>
      <scheme val="minor"/>
    </font>
    <font>
      <b/>
      <sz val="12"/>
      <color indexed="65"/>
      <name val="Arial"/>
      <family val="2"/>
    </font>
    <font>
      <b/>
      <sz val="12"/>
      <color indexed="64"/>
      <name val="Arial"/>
      <family val="2"/>
    </font>
    <font>
      <b/>
      <sz val="12"/>
      <color indexed="23"/>
      <name val="Arial"/>
      <family val="2"/>
    </font>
    <font>
      <b/>
      <sz val="8"/>
      <color indexed="65"/>
      <name val="Arial"/>
      <family val="2"/>
    </font>
    <font>
      <sz val="8"/>
      <color indexed="64"/>
      <name val="Arial"/>
      <family val="2"/>
    </font>
    <font>
      <b/>
      <sz val="8"/>
      <color indexed="64"/>
      <name val="Arial"/>
      <family val="2"/>
    </font>
    <font>
      <b/>
      <i/>
      <sz val="16"/>
      <color indexed="64"/>
      <name val="Arial"/>
      <family val="2"/>
    </font>
    <font>
      <b/>
      <sz val="8"/>
      <color indexed="23"/>
      <name val="Arial"/>
      <family val="2"/>
    </font>
    <font>
      <b/>
      <i/>
      <u/>
      <sz val="12"/>
      <color indexed="64"/>
      <name val="Arial"/>
      <family val="2"/>
    </font>
    <font>
      <b/>
      <sz val="11"/>
      <color indexed="65"/>
      <name val="Arial"/>
      <family val="2"/>
    </font>
    <font>
      <sz val="12"/>
      <color indexed="64"/>
      <name val="Calibri"/>
      <family val="2"/>
      <scheme val="minor"/>
    </font>
    <font>
      <b/>
      <sz val="12"/>
      <color indexed="65"/>
      <name val="Calibri"/>
      <family val="2"/>
      <scheme val="minor"/>
    </font>
    <font>
      <sz val="10"/>
      <color indexed="64"/>
      <name val="Calibri"/>
      <family val="2"/>
      <scheme val="minor"/>
    </font>
    <font>
      <b/>
      <sz val="12"/>
      <color indexed="64"/>
      <name val="Calibri"/>
      <family val="2"/>
      <scheme val="minor"/>
    </font>
    <font>
      <b/>
      <sz val="11"/>
      <color indexed="65"/>
      <name val="Calibri"/>
      <family val="2"/>
      <scheme val="minor"/>
    </font>
    <font>
      <b/>
      <sz val="11"/>
      <color indexed="64"/>
      <name val="Calibri"/>
      <family val="2"/>
      <scheme val="minor"/>
    </font>
    <font>
      <sz val="11"/>
      <color indexed="64"/>
      <name val="Calibri"/>
      <family val="2"/>
      <scheme val="minor"/>
    </font>
    <font>
      <b/>
      <sz val="8"/>
      <color indexed="65"/>
      <name val="Calibri"/>
      <family val="2"/>
      <scheme val="minor"/>
    </font>
    <font>
      <b/>
      <sz val="11"/>
      <color indexed="23"/>
      <name val="Calibri"/>
      <family val="2"/>
      <scheme val="minor"/>
    </font>
    <font>
      <sz val="12"/>
      <color indexed="64"/>
      <name val="Arial"/>
      <family val="2"/>
    </font>
    <font>
      <b/>
      <sz val="12"/>
      <color indexed="64"/>
      <name val="Arial"/>
      <family val="2"/>
    </font>
    <font>
      <b/>
      <sz val="12"/>
      <color indexed="65"/>
      <name val="Calibri"/>
      <family val="2"/>
      <scheme val="minor"/>
    </font>
    <font>
      <sz val="12"/>
      <color indexed="64"/>
      <name val="Calibri"/>
      <family val="2"/>
      <scheme val="minor"/>
    </font>
    <font>
      <sz val="11"/>
      <color indexed="64"/>
      <name val="Calibri"/>
      <family val="2"/>
      <scheme val="minor"/>
    </font>
    <font>
      <sz val="12"/>
      <color indexed="64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u val="double"/>
      <sz val="12"/>
      <color indexed="64"/>
      <name val="Arial"/>
      <family val="2"/>
    </font>
    <font>
      <b/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u/>
      <sz val="12"/>
      <color theme="10"/>
      <name val="Arial"/>
      <family val="2"/>
    </font>
    <font>
      <b/>
      <sz val="8"/>
      <color rgb="FFFFFFFF"/>
      <name val="Calibri"/>
      <family val="2"/>
      <scheme val="minor"/>
    </font>
    <font>
      <sz val="12"/>
      <color rgb="FF000000"/>
      <name val="Arial"/>
      <family val="2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rgb="FF000000"/>
      <name val="Calibri"/>
      <family val="2"/>
    </font>
  </fonts>
  <fills count="16">
    <fill>
      <patternFill patternType="none"/>
    </fill>
    <fill>
      <patternFill patternType="gray125"/>
    </fill>
    <fill>
      <patternFill patternType="solid">
        <fgColor rgb="FF07838B"/>
        <bgColor indexed="21"/>
      </patternFill>
    </fill>
    <fill>
      <patternFill patternType="solid">
        <fgColor indexed="26"/>
      </patternFill>
    </fill>
    <fill>
      <patternFill patternType="solid">
        <fgColor indexed="65"/>
        <bgColor indexed="26"/>
      </patternFill>
    </fill>
    <fill>
      <patternFill patternType="solid">
        <fgColor rgb="FFDE1B3E"/>
        <bgColor rgb="FFC81A71"/>
      </patternFill>
    </fill>
    <fill>
      <patternFill patternType="solid">
        <bgColor indexed="58"/>
      </patternFill>
    </fill>
    <fill>
      <patternFill patternType="solid">
        <fgColor rgb="FFEEEEEE"/>
      </patternFill>
    </fill>
    <fill>
      <patternFill patternType="solid">
        <fgColor rgb="FF2D77D0"/>
        <bgColor indexed="30"/>
      </patternFill>
    </fill>
    <fill>
      <patternFill patternType="solid">
        <fgColor rgb="FFC81A71"/>
        <bgColor rgb="FFDE1B3E"/>
      </patternFill>
    </fill>
    <fill>
      <patternFill patternType="solid">
        <fgColor rgb="FF933C53"/>
        <bgColor indexed="60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10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theme="4" tint="0.39997558519241921"/>
      </bottom>
      <diagonal/>
    </border>
    <border>
      <left/>
      <right/>
      <top/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</borders>
  <cellStyleXfs count="22">
    <xf numFmtId="0" fontId="0" fillId="0" borderId="0"/>
    <xf numFmtId="49" fontId="2" fillId="2" borderId="0" applyBorder="0" applyProtection="0"/>
    <xf numFmtId="0" fontId="3" fillId="3" borderId="0" applyBorder="0" applyProtection="0"/>
    <xf numFmtId="0" fontId="3" fillId="0" borderId="0" applyBorder="0" applyProtection="0"/>
    <xf numFmtId="49" fontId="4" fillId="4" borderId="0" applyBorder="0" applyProtection="0"/>
    <xf numFmtId="49" fontId="2" fillId="5" borderId="0" applyBorder="0" applyProtection="0"/>
    <xf numFmtId="49" fontId="2" fillId="6" borderId="0" applyBorder="0" applyProtection="0"/>
    <xf numFmtId="49" fontId="5" fillId="2" borderId="0" applyBorder="0" applyProtection="0">
      <alignment horizontal="center" vertical="center"/>
    </xf>
    <xf numFmtId="0" fontId="6" fillId="7" borderId="0" applyBorder="0" applyProtection="0"/>
    <xf numFmtId="0" fontId="7" fillId="3" borderId="0" applyBorder="0" applyProtection="0">
      <alignment horizontal="center" vertical="center"/>
    </xf>
    <xf numFmtId="0" fontId="7" fillId="0" borderId="0" applyBorder="0" applyProtection="0">
      <alignment horizontal="center" vertical="center"/>
    </xf>
    <xf numFmtId="0" fontId="5" fillId="8" borderId="0" applyBorder="0" applyProtection="0"/>
    <xf numFmtId="0" fontId="8" fillId="0" borderId="0" applyBorder="0" applyProtection="0">
      <alignment horizontal="center" textRotation="90"/>
    </xf>
    <xf numFmtId="49" fontId="9" fillId="4" borderId="0" applyBorder="0" applyProtection="0">
      <alignment horizontal="center" vertical="center"/>
    </xf>
    <xf numFmtId="49" fontId="5" fillId="5" borderId="0" applyBorder="0" applyProtection="0">
      <alignment horizontal="center" vertical="center"/>
    </xf>
    <xf numFmtId="49" fontId="5" fillId="6" borderId="0" applyBorder="0" applyProtection="0">
      <alignment horizontal="center" vertical="center"/>
    </xf>
    <xf numFmtId="9" fontId="21" fillId="0" borderId="0" applyFont="0" applyFill="0" applyBorder="0" applyProtection="0"/>
    <xf numFmtId="0" fontId="10" fillId="0" borderId="0" applyBorder="0" applyProtection="0"/>
    <xf numFmtId="164" fontId="10" fillId="0" borderId="0" applyBorder="0" applyProtection="0"/>
    <xf numFmtId="0" fontId="11" fillId="9" borderId="0" applyBorder="0" applyProtection="0">
      <alignment horizontal="center" vertical="center"/>
    </xf>
    <xf numFmtId="0" fontId="3" fillId="10" borderId="0" applyBorder="0" applyProtection="0"/>
    <xf numFmtId="0" fontId="32" fillId="0" borderId="0" applyNumberFormat="0" applyFill="0" applyBorder="0" applyAlignment="0" applyProtection="0"/>
  </cellStyleXfs>
  <cellXfs count="89">
    <xf numFmtId="0" fontId="0" fillId="0" borderId="0" xfId="0"/>
    <xf numFmtId="0" fontId="12" fillId="0" borderId="0" xfId="0" applyFont="1"/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2" fillId="6" borderId="0" xfId="0" applyFont="1" applyFill="1" applyAlignment="1">
      <alignment horizontal="center"/>
    </xf>
    <xf numFmtId="0" fontId="3" fillId="7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12" fillId="0" borderId="0" xfId="0" applyFont="1" applyAlignment="1">
      <alignment horizontal="center"/>
    </xf>
    <xf numFmtId="0" fontId="15" fillId="7" borderId="1" xfId="0" applyFont="1" applyFill="1" applyBorder="1" applyAlignment="1">
      <alignment horizontal="center"/>
    </xf>
    <xf numFmtId="0" fontId="12" fillId="9" borderId="0" xfId="0" applyFont="1" applyFill="1"/>
    <xf numFmtId="0" fontId="12" fillId="9" borderId="0" xfId="0" applyFont="1" applyFill="1" applyAlignment="1">
      <alignment horizontal="center"/>
    </xf>
    <xf numFmtId="0" fontId="13" fillId="9" borderId="1" xfId="0" applyFont="1" applyFill="1" applyBorder="1" applyAlignment="1">
      <alignment horizontal="center"/>
    </xf>
    <xf numFmtId="0" fontId="13" fillId="9" borderId="0" xfId="0" applyFont="1" applyFill="1" applyAlignment="1">
      <alignment horizontal="center"/>
    </xf>
    <xf numFmtId="0" fontId="13" fillId="0" borderId="1" xfId="0" applyFont="1" applyBorder="1" applyAlignment="1">
      <alignment horizontal="center"/>
    </xf>
    <xf numFmtId="9" fontId="12" fillId="0" borderId="0" xfId="16" applyNumberFormat="1" applyFont="1"/>
    <xf numFmtId="0" fontId="18" fillId="0" borderId="0" xfId="0" applyFont="1"/>
    <xf numFmtId="0" fontId="19" fillId="0" borderId="0" xfId="11" applyFont="1" applyFill="1" applyAlignment="1" applyProtection="1">
      <alignment horizontal="center" vertical="center" wrapText="1"/>
    </xf>
    <xf numFmtId="0" fontId="18" fillId="7" borderId="3" xfId="0" applyFont="1" applyFill="1" applyBorder="1" applyAlignment="1">
      <alignment horizontal="center"/>
    </xf>
    <xf numFmtId="0" fontId="18" fillId="7" borderId="4" xfId="0" applyFont="1" applyFill="1" applyBorder="1" applyAlignment="1">
      <alignment horizontal="center"/>
    </xf>
    <xf numFmtId="49" fontId="16" fillId="2" borderId="1" xfId="7" applyNumberFormat="1" applyFont="1" applyFill="1" applyBorder="1" applyAlignment="1" applyProtection="1">
      <alignment horizontal="center" vertical="center"/>
    </xf>
    <xf numFmtId="0" fontId="15" fillId="0" borderId="0" xfId="0" applyFont="1"/>
    <xf numFmtId="0" fontId="18" fillId="0" borderId="1" xfId="0" applyFont="1" applyBorder="1" applyAlignment="1">
      <alignment horizontal="center"/>
    </xf>
    <xf numFmtId="0" fontId="18" fillId="0" borderId="5" xfId="0" applyFont="1" applyBorder="1" applyAlignment="1">
      <alignment horizontal="center"/>
    </xf>
    <xf numFmtId="49" fontId="16" fillId="5" borderId="1" xfId="14" applyNumberFormat="1" applyFont="1" applyFill="1" applyBorder="1" applyAlignment="1" applyProtection="1">
      <alignment horizontal="center" vertical="center"/>
    </xf>
    <xf numFmtId="0" fontId="18" fillId="7" borderId="1" xfId="0" applyFont="1" applyFill="1" applyBorder="1" applyAlignment="1">
      <alignment horizontal="center"/>
    </xf>
    <xf numFmtId="0" fontId="18" fillId="7" borderId="5" xfId="0" applyFont="1" applyFill="1" applyBorder="1" applyAlignment="1">
      <alignment horizontal="center"/>
    </xf>
    <xf numFmtId="49" fontId="20" fillId="4" borderId="1" xfId="13" applyNumberFormat="1" applyFont="1" applyFill="1" applyBorder="1" applyAlignment="1" applyProtection="1">
      <alignment horizontal="center" vertical="center"/>
    </xf>
    <xf numFmtId="0" fontId="18" fillId="0" borderId="2" xfId="0" applyFont="1" applyBorder="1" applyAlignment="1">
      <alignment horizontal="center"/>
    </xf>
    <xf numFmtId="0" fontId="18" fillId="0" borderId="6" xfId="0" applyFont="1" applyBorder="1" applyAlignment="1">
      <alignment horizontal="center"/>
    </xf>
    <xf numFmtId="0" fontId="17" fillId="3" borderId="1" xfId="9" applyFont="1" applyFill="1" applyBorder="1" applyAlignment="1" applyProtection="1">
      <alignment horizontal="center" vertical="center"/>
    </xf>
    <xf numFmtId="0" fontId="14" fillId="0" borderId="0" xfId="0" applyFont="1" applyAlignment="1">
      <alignment horizontal="center"/>
    </xf>
    <xf numFmtId="165" fontId="12" fillId="0" borderId="0" xfId="16" applyNumberFormat="1" applyFont="1"/>
    <xf numFmtId="0" fontId="12" fillId="0" borderId="0" xfId="0" applyFont="1" applyAlignment="1">
      <alignment horizontal="left"/>
    </xf>
    <xf numFmtId="0" fontId="0" fillId="0" borderId="0" xfId="0" applyAlignment="1">
      <alignment horizontal="center" vertical="center" wrapText="1"/>
    </xf>
    <xf numFmtId="0" fontId="24" fillId="0" borderId="0" xfId="0" applyFont="1"/>
    <xf numFmtId="0" fontId="24" fillId="0" borderId="0" xfId="0" applyFont="1" applyAlignment="1">
      <alignment horizontal="center" vertical="center"/>
    </xf>
    <xf numFmtId="0" fontId="0" fillId="0" borderId="0" xfId="0"/>
    <xf numFmtId="0" fontId="0" fillId="0" borderId="0" xfId="0" applyAlignment="1">
      <alignment wrapText="1"/>
    </xf>
    <xf numFmtId="0" fontId="26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 textRotation="90"/>
    </xf>
    <xf numFmtId="0" fontId="22" fillId="11" borderId="0" xfId="0" applyFont="1" applyFill="1" applyAlignment="1">
      <alignment horizontal="center" vertical="center" textRotation="90"/>
    </xf>
    <xf numFmtId="0" fontId="0" fillId="0" borderId="0" xfId="0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5" fillId="0" borderId="0" xfId="0" applyFont="1" applyAlignment="1">
      <alignment vertical="center"/>
    </xf>
    <xf numFmtId="0" fontId="22" fillId="11" borderId="0" xfId="0" applyFont="1" applyFill="1" applyAlignment="1">
      <alignment horizontal="center" vertical="center"/>
    </xf>
    <xf numFmtId="0" fontId="22" fillId="0" borderId="0" xfId="0" applyFont="1" applyAlignment="1">
      <alignment wrapText="1"/>
    </xf>
    <xf numFmtId="0" fontId="0" fillId="0" borderId="0" xfId="0" applyFont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0" xfId="0" applyFill="1"/>
    <xf numFmtId="0" fontId="29" fillId="11" borderId="0" xfId="0" applyFont="1" applyFill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5" fillId="0" borderId="0" xfId="0" applyFont="1" applyFill="1" applyAlignment="1">
      <alignment vertical="center" wrapText="1"/>
    </xf>
    <xf numFmtId="0" fontId="25" fillId="0" borderId="0" xfId="0" applyFont="1" applyFill="1" applyBorder="1" applyAlignment="1">
      <alignment vertical="center" wrapText="1"/>
    </xf>
    <xf numFmtId="0" fontId="1" fillId="0" borderId="1" xfId="0" applyFont="1" applyFill="1" applyBorder="1" applyAlignment="1">
      <alignment horizontal="left" vertical="center" wrapText="1"/>
    </xf>
    <xf numFmtId="0" fontId="1" fillId="0" borderId="7" xfId="0" applyFont="1" applyFill="1" applyBorder="1" applyAlignment="1">
      <alignment horizontal="left" vertical="center" wrapText="1"/>
    </xf>
    <xf numFmtId="0" fontId="25" fillId="0" borderId="0" xfId="0" applyFont="1" applyFill="1" applyAlignment="1">
      <alignment horizontal="center" vertical="center"/>
    </xf>
    <xf numFmtId="0" fontId="31" fillId="0" borderId="1" xfId="0" applyFont="1" applyBorder="1" applyAlignment="1">
      <alignment horizontal="center" vertical="center" wrapText="1"/>
    </xf>
    <xf numFmtId="0" fontId="30" fillId="0" borderId="0" xfId="0" applyFont="1" applyAlignment="1">
      <alignment horizontal="left" vertical="center" wrapText="1"/>
    </xf>
    <xf numFmtId="0" fontId="0" fillId="0" borderId="0" xfId="0"/>
    <xf numFmtId="0" fontId="22" fillId="0" borderId="0" xfId="0" applyFont="1" applyAlignment="1">
      <alignment vertical="center" wrapText="1"/>
    </xf>
    <xf numFmtId="0" fontId="22" fillId="15" borderId="0" xfId="0" applyFont="1" applyFill="1" applyAlignment="1">
      <alignment horizontal="center" vertical="center" textRotation="90"/>
    </xf>
    <xf numFmtId="0" fontId="22" fillId="15" borderId="0" xfId="0" applyFont="1" applyFill="1" applyAlignment="1">
      <alignment horizontal="center" vertical="center" wrapText="1"/>
    </xf>
    <xf numFmtId="0" fontId="3" fillId="12" borderId="0" xfId="0" applyFont="1" applyFill="1" applyAlignment="1">
      <alignment horizontal="center" vertical="center" textRotation="90"/>
    </xf>
    <xf numFmtId="0" fontId="32" fillId="0" borderId="0" xfId="21"/>
    <xf numFmtId="0" fontId="30" fillId="0" borderId="0" xfId="0" applyFont="1" applyAlignment="1">
      <alignment horizontal="left" vertical="center"/>
    </xf>
    <xf numFmtId="0" fontId="33" fillId="8" borderId="0" xfId="11" applyFont="1" applyProtection="1"/>
    <xf numFmtId="0" fontId="34" fillId="0" borderId="0" xfId="0" applyFont="1"/>
    <xf numFmtId="0" fontId="35" fillId="0" borderId="1" xfId="0" applyFont="1" applyBorder="1" applyAlignment="1">
      <alignment horizontal="left" vertical="center" wrapText="1"/>
    </xf>
    <xf numFmtId="0" fontId="36" fillId="0" borderId="1" xfId="0" applyFont="1" applyBorder="1" applyAlignment="1">
      <alignment horizontal="center" vertical="center" wrapText="1"/>
    </xf>
    <xf numFmtId="0" fontId="21" fillId="0" borderId="0" xfId="0" applyFont="1" applyAlignment="1">
      <alignment vertical="center" wrapText="1"/>
    </xf>
    <xf numFmtId="0" fontId="37" fillId="0" borderId="1" xfId="0" applyFont="1" applyBorder="1" applyAlignment="1">
      <alignment horizontal="center" vertical="center" wrapText="1"/>
    </xf>
    <xf numFmtId="0" fontId="36" fillId="0" borderId="9" xfId="0" applyFont="1" applyBorder="1" applyAlignment="1">
      <alignment horizontal="center" vertical="center" wrapText="1"/>
    </xf>
    <xf numFmtId="0" fontId="21" fillId="0" borderId="8" xfId="0" applyFont="1" applyBorder="1" applyAlignment="1">
      <alignment vertical="center"/>
    </xf>
    <xf numFmtId="0" fontId="21" fillId="0" borderId="8" xfId="0" applyFont="1" applyFill="1" applyBorder="1" applyAlignment="1">
      <alignment vertical="center"/>
    </xf>
    <xf numFmtId="0" fontId="21" fillId="13" borderId="8" xfId="0" applyFont="1" applyFill="1" applyBorder="1" applyAlignment="1">
      <alignment vertical="center" wrapText="1"/>
    </xf>
    <xf numFmtId="0" fontId="21" fillId="14" borderId="8" xfId="0" applyFont="1" applyFill="1" applyBorder="1"/>
    <xf numFmtId="0" fontId="22" fillId="11" borderId="0" xfId="0" applyFont="1" applyFill="1" applyAlignment="1">
      <alignment horizontal="center" vertical="center" wrapText="1"/>
    </xf>
    <xf numFmtId="0" fontId="34" fillId="0" borderId="0" xfId="0" applyFont="1" applyAlignment="1">
      <alignment horizontal="center" vertical="center"/>
    </xf>
    <xf numFmtId="0" fontId="34" fillId="0" borderId="0" xfId="0" applyFont="1" applyAlignment="1">
      <alignment vertical="center" wrapText="1"/>
    </xf>
    <xf numFmtId="0" fontId="21" fillId="0" borderId="0" xfId="0" applyFont="1" applyAlignment="1">
      <alignment horizontal="left" vertical="center" wrapText="1"/>
    </xf>
    <xf numFmtId="0" fontId="13" fillId="9" borderId="0" xfId="19" applyFont="1" applyFill="1" applyAlignment="1" applyProtection="1">
      <alignment horizontal="center" vertical="center" wrapText="1"/>
    </xf>
    <xf numFmtId="0" fontId="16" fillId="8" borderId="2" xfId="11" applyFont="1" applyFill="1" applyBorder="1" applyAlignment="1" applyProtection="1">
      <alignment horizontal="center" vertical="center" wrapText="1"/>
    </xf>
    <xf numFmtId="0" fontId="16" fillId="8" borderId="2" xfId="11" applyFont="1" applyFill="1" applyBorder="1" applyAlignment="1" applyProtection="1">
      <alignment horizontal="center" vertical="center" textRotation="90" wrapText="1"/>
    </xf>
    <xf numFmtId="0" fontId="32" fillId="0" borderId="0" xfId="21"/>
    <xf numFmtId="0" fontId="30" fillId="0" borderId="0" xfId="0" applyFont="1" applyAlignment="1">
      <alignment horizontal="left" vertical="center"/>
    </xf>
    <xf numFmtId="0" fontId="23" fillId="9" borderId="0" xfId="19" applyFont="1" applyAlignment="1" applyProtection="1">
      <alignment horizontal="center" vertical="center" wrapText="1"/>
    </xf>
    <xf numFmtId="0" fontId="30" fillId="0" borderId="0" xfId="0" applyFont="1" applyAlignment="1">
      <alignment horizontal="left" vertical="center" wrapText="1"/>
    </xf>
  </cellXfs>
  <cellStyles count="22">
    <cellStyle name="cf1" xfId="1" xr:uid="{00000000-0005-0000-0000-000000000000}"/>
    <cellStyle name="cf2" xfId="2" xr:uid="{00000000-0005-0000-0000-000001000000}"/>
    <cellStyle name="cf3" xfId="3" xr:uid="{00000000-0005-0000-0000-000002000000}"/>
    <cellStyle name="cf4" xfId="4" xr:uid="{00000000-0005-0000-0000-000003000000}"/>
    <cellStyle name="cf5" xfId="5" xr:uid="{00000000-0005-0000-0000-000004000000}"/>
    <cellStyle name="cf6" xfId="6" xr:uid="{00000000-0005-0000-0000-000005000000}"/>
    <cellStyle name="Conforme" xfId="7" xr:uid="{00000000-0005-0000-0000-000006000000}"/>
    <cellStyle name="Critère NA" xfId="8" xr:uid="{00000000-0005-0000-0000-000007000000}"/>
    <cellStyle name="Dérogation" xfId="9" xr:uid="{00000000-0005-0000-0000-000008000000}"/>
    <cellStyle name="Dérogation-N" xfId="10" xr:uid="{00000000-0005-0000-0000-000009000000}"/>
    <cellStyle name="Entête tableau" xfId="11" xr:uid="{00000000-0005-0000-0000-00000A000000}"/>
    <cellStyle name="Heading1" xfId="12" xr:uid="{00000000-0005-0000-0000-00000B000000}"/>
    <cellStyle name="Hyperlink" xfId="21" builtinId="8"/>
    <cellStyle name="Non applicable" xfId="13" xr:uid="{00000000-0005-0000-0000-00000C000000}"/>
    <cellStyle name="Non conforme" xfId="14" xr:uid="{00000000-0005-0000-0000-00000D000000}"/>
    <cellStyle name="Non testé" xfId="15" xr:uid="{00000000-0005-0000-0000-00000E000000}"/>
    <cellStyle name="Normal" xfId="0" builtinId="0"/>
    <cellStyle name="Percent" xfId="16" builtinId="5"/>
    <cellStyle name="Result" xfId="17" xr:uid="{00000000-0005-0000-0000-000011000000}"/>
    <cellStyle name="Result2" xfId="18" xr:uid="{00000000-0005-0000-0000-000012000000}"/>
    <cellStyle name="Titre tableau" xfId="19" xr:uid="{00000000-0005-0000-0000-000013000000}"/>
    <cellStyle name="TitreViolet" xfId="20" xr:uid="{00000000-0005-0000-0000-000014000000}"/>
  </cellStyles>
  <dxfs count="2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darkDown">
          <fgColor theme="5" tint="0.39994506668294322"/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D0CECE"/>
        </patternFill>
      </fill>
    </dxf>
    <dxf>
      <fill>
        <patternFill>
          <bgColor theme="2" tint="-9.9948118533890809E-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darkDown">
          <fgColor theme="5" tint="0.39994506668294322"/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D0CECE"/>
        </patternFill>
      </fill>
    </dxf>
    <dxf>
      <fill>
        <patternFill>
          <bgColor theme="2" tint="-9.9948118533890809E-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darkDown">
          <fgColor theme="5" tint="0.39994506668294322"/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D0CECE"/>
        </patternFill>
      </fill>
    </dxf>
    <dxf>
      <fill>
        <patternFill>
          <bgColor theme="2" tint="-9.9948118533890809E-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18" Type="http://schemas.onlyoffice.com/jsaProject" Target="jsaProject.bin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E75"/>
  <sheetViews>
    <sheetView workbookViewId="0">
      <selection activeCell="E4" sqref="E4"/>
    </sheetView>
  </sheetViews>
  <sheetFormatPr defaultColWidth="9.53515625" defaultRowHeight="15.5" x14ac:dyDescent="0.35"/>
  <cols>
    <col min="1" max="1" width="3.3046875" style="2" customWidth="1"/>
    <col min="2" max="2" width="5.3046875" style="2" customWidth="1"/>
    <col min="3" max="3" width="21.84375" style="2" customWidth="1"/>
    <col min="4" max="4" width="6.69140625" style="2" customWidth="1"/>
    <col min="5" max="7" width="5.53515625" style="3" customWidth="1"/>
    <col min="8" max="11" width="5.07421875" style="4" customWidth="1"/>
    <col min="12" max="12" width="9.53515625" style="2"/>
    <col min="13" max="14" width="5.3046875" style="2" customWidth="1"/>
    <col min="15" max="15" width="22.84375" style="2" customWidth="1"/>
    <col min="16" max="18" width="5.53515625" style="3" customWidth="1"/>
    <col min="19" max="19" width="7.3046875" style="4" customWidth="1"/>
    <col min="20" max="31" width="9.53515625" style="2"/>
    <col min="991" max="991" width="7.3046875" customWidth="1"/>
  </cols>
  <sheetData>
    <row r="1" spans="1:19" x14ac:dyDescent="0.35">
      <c r="D1" s="2" t="s">
        <v>9</v>
      </c>
      <c r="E1" s="5" t="s">
        <v>6</v>
      </c>
      <c r="F1" s="5" t="s">
        <v>7</v>
      </c>
      <c r="G1" s="5" t="s">
        <v>8</v>
      </c>
      <c r="H1" s="6" t="s">
        <v>10</v>
      </c>
      <c r="I1" s="6" t="s">
        <v>11</v>
      </c>
      <c r="J1" s="6" t="s">
        <v>12</v>
      </c>
      <c r="K1" s="6" t="s">
        <v>13</v>
      </c>
      <c r="P1" s="5" t="s">
        <v>6</v>
      </c>
      <c r="Q1" s="5" t="s">
        <v>7</v>
      </c>
      <c r="R1" s="5" t="s">
        <v>8</v>
      </c>
      <c r="S1" s="6" t="s">
        <v>14</v>
      </c>
    </row>
    <row r="2" spans="1:19" x14ac:dyDescent="0.35">
      <c r="E2" s="2"/>
      <c r="F2" s="7"/>
      <c r="G2" s="7"/>
      <c r="H2" s="8"/>
      <c r="I2" s="8"/>
      <c r="J2" s="8"/>
      <c r="K2" s="8"/>
      <c r="P2" s="7"/>
      <c r="Q2" s="7"/>
      <c r="R2" s="7"/>
      <c r="S2" s="8"/>
    </row>
    <row r="3" spans="1:19" x14ac:dyDescent="0.35">
      <c r="A3" s="1">
        <v>1</v>
      </c>
      <c r="B3" s="9" t="e">
        <f>#REF!</f>
        <v>#REF!</v>
      </c>
      <c r="C3" s="9" t="e">
        <f>#REF!</f>
        <v>#REF!</v>
      </c>
      <c r="D3" s="9" t="s">
        <v>15</v>
      </c>
      <c r="E3" s="9" t="e">
        <f>#REF!</f>
        <v>#REF!</v>
      </c>
      <c r="F3" s="9" t="e">
        <f>#REF!</f>
        <v>#REF!</v>
      </c>
      <c r="G3" s="9" t="e">
        <f>#REF!</f>
        <v>#REF!</v>
      </c>
      <c r="H3" s="10">
        <f t="shared" ref="H3:H9" si="0">COUNTIF(E3:G3,"C")</f>
        <v>0</v>
      </c>
      <c r="I3" s="10">
        <f t="shared" ref="I3:I9" si="1">COUNTIF(E3:G3,"NC")</f>
        <v>0</v>
      </c>
      <c r="J3" s="10">
        <f t="shared" ref="J3:J9" si="2">COUNTIF(E3:G3,"NA")</f>
        <v>0</v>
      </c>
      <c r="K3" s="10">
        <f t="shared" ref="K3:K9" si="3">COUNTIF(E3:G3,"NT")</f>
        <v>0</v>
      </c>
      <c r="L3" s="1" t="str">
        <f t="shared" ref="L3:L9" si="4">IF(I3&gt;0,"NC",IF(H3&gt;0,"C",IF(K3&gt;0,"NT","NA")))</f>
        <v>NA</v>
      </c>
      <c r="M3" s="1">
        <v>1</v>
      </c>
      <c r="N3" s="9" t="e">
        <f>#REF!</f>
        <v>#REF!</v>
      </c>
      <c r="O3" s="9" t="e">
        <f>#REF!</f>
        <v>#REF!</v>
      </c>
      <c r="P3" s="9" t="e">
        <f>#REF!</f>
        <v>#REF!</v>
      </c>
      <c r="Q3" s="9" t="e">
        <f>#REF!</f>
        <v>#REF!</v>
      </c>
      <c r="R3" s="9" t="e">
        <f>#REF!</f>
        <v>#REF!</v>
      </c>
      <c r="S3" s="10">
        <f t="shared" ref="S3:S9" si="5">COUNTIF(P3:R3,"D")</f>
        <v>0</v>
      </c>
    </row>
    <row r="4" spans="1:19" x14ac:dyDescent="0.35">
      <c r="A4" s="1">
        <v>1</v>
      </c>
      <c r="B4" s="9" t="e">
        <f>#REF!</f>
        <v>#REF!</v>
      </c>
      <c r="C4" s="9" t="e">
        <f>#REF!</f>
        <v>#REF!</v>
      </c>
      <c r="D4" s="9" t="s">
        <v>15</v>
      </c>
      <c r="E4" s="9" t="e">
        <f>#REF!</f>
        <v>#REF!</v>
      </c>
      <c r="F4" s="9" t="e">
        <f>#REF!</f>
        <v>#REF!</v>
      </c>
      <c r="G4" s="9" t="e">
        <f>#REF!</f>
        <v>#REF!</v>
      </c>
      <c r="H4" s="10">
        <f t="shared" si="0"/>
        <v>0</v>
      </c>
      <c r="I4" s="10">
        <f t="shared" si="1"/>
        <v>0</v>
      </c>
      <c r="J4" s="10">
        <f t="shared" si="2"/>
        <v>0</v>
      </c>
      <c r="K4" s="10">
        <f t="shared" si="3"/>
        <v>0</v>
      </c>
      <c r="L4" s="1" t="str">
        <f t="shared" si="4"/>
        <v>NA</v>
      </c>
      <c r="M4" s="1">
        <v>1</v>
      </c>
      <c r="N4" s="9" t="e">
        <f>#REF!</f>
        <v>#REF!</v>
      </c>
      <c r="O4" s="9" t="e">
        <f>#REF!</f>
        <v>#REF!</v>
      </c>
      <c r="P4" s="9" t="e">
        <f>#REF!</f>
        <v>#REF!</v>
      </c>
      <c r="Q4" s="9" t="e">
        <f>#REF!</f>
        <v>#REF!</v>
      </c>
      <c r="R4" s="9" t="e">
        <f>#REF!</f>
        <v>#REF!</v>
      </c>
      <c r="S4" s="10">
        <f t="shared" si="5"/>
        <v>0</v>
      </c>
    </row>
    <row r="5" spans="1:19" x14ac:dyDescent="0.35">
      <c r="A5" s="1">
        <v>1</v>
      </c>
      <c r="B5" s="9" t="e">
        <f>#REF!</f>
        <v>#REF!</v>
      </c>
      <c r="C5" s="9" t="e">
        <f>#REF!</f>
        <v>#REF!</v>
      </c>
      <c r="D5" s="9" t="s">
        <v>15</v>
      </c>
      <c r="E5" s="9" t="e">
        <f>#REF!</f>
        <v>#REF!</v>
      </c>
      <c r="F5" s="9" t="e">
        <f>#REF!</f>
        <v>#REF!</v>
      </c>
      <c r="G5" s="9" t="e">
        <f>#REF!</f>
        <v>#REF!</v>
      </c>
      <c r="H5" s="10">
        <f t="shared" si="0"/>
        <v>0</v>
      </c>
      <c r="I5" s="10">
        <f t="shared" si="1"/>
        <v>0</v>
      </c>
      <c r="J5" s="10">
        <f t="shared" si="2"/>
        <v>0</v>
      </c>
      <c r="K5" s="10">
        <f t="shared" si="3"/>
        <v>0</v>
      </c>
      <c r="L5" s="1" t="str">
        <f t="shared" si="4"/>
        <v>NA</v>
      </c>
      <c r="M5" s="1">
        <v>1</v>
      </c>
      <c r="N5" s="9" t="e">
        <f>#REF!</f>
        <v>#REF!</v>
      </c>
      <c r="O5" s="9" t="e">
        <f>#REF!</f>
        <v>#REF!</v>
      </c>
      <c r="P5" s="9" t="e">
        <f>#REF!</f>
        <v>#REF!</v>
      </c>
      <c r="Q5" s="9" t="e">
        <f>#REF!</f>
        <v>#REF!</v>
      </c>
      <c r="R5" s="9" t="e">
        <f>#REF!</f>
        <v>#REF!</v>
      </c>
      <c r="S5" s="10">
        <f t="shared" si="5"/>
        <v>0</v>
      </c>
    </row>
    <row r="6" spans="1:19" x14ac:dyDescent="0.35">
      <c r="A6" s="1">
        <v>1</v>
      </c>
      <c r="B6" s="9" t="e">
        <f>#REF!</f>
        <v>#REF!</v>
      </c>
      <c r="C6" s="9" t="e">
        <f>#REF!</f>
        <v>#REF!</v>
      </c>
      <c r="D6" s="9" t="s">
        <v>15</v>
      </c>
      <c r="E6" s="9" t="e">
        <f>#REF!</f>
        <v>#REF!</v>
      </c>
      <c r="F6" s="9" t="e">
        <f>#REF!</f>
        <v>#REF!</v>
      </c>
      <c r="G6" s="9" t="e">
        <f>#REF!</f>
        <v>#REF!</v>
      </c>
      <c r="H6" s="10">
        <f t="shared" si="0"/>
        <v>0</v>
      </c>
      <c r="I6" s="10">
        <f t="shared" si="1"/>
        <v>0</v>
      </c>
      <c r="J6" s="10">
        <f t="shared" si="2"/>
        <v>0</v>
      </c>
      <c r="K6" s="10">
        <f t="shared" si="3"/>
        <v>0</v>
      </c>
      <c r="L6" s="1" t="str">
        <f t="shared" si="4"/>
        <v>NA</v>
      </c>
      <c r="M6" s="1">
        <v>1</v>
      </c>
      <c r="N6" s="9" t="e">
        <f>#REF!</f>
        <v>#REF!</v>
      </c>
      <c r="O6" s="9" t="e">
        <f>#REF!</f>
        <v>#REF!</v>
      </c>
      <c r="P6" s="9" t="e">
        <f>#REF!</f>
        <v>#REF!</v>
      </c>
      <c r="Q6" s="9" t="e">
        <f>#REF!</f>
        <v>#REF!</v>
      </c>
      <c r="R6" s="9" t="e">
        <f>#REF!</f>
        <v>#REF!</v>
      </c>
      <c r="S6" s="10">
        <f t="shared" si="5"/>
        <v>0</v>
      </c>
    </row>
    <row r="7" spans="1:19" x14ac:dyDescent="0.35">
      <c r="A7" s="1">
        <v>1</v>
      </c>
      <c r="B7" s="9" t="e">
        <f>#REF!</f>
        <v>#REF!</v>
      </c>
      <c r="C7" s="9" t="e">
        <f>#REF!</f>
        <v>#REF!</v>
      </c>
      <c r="D7" s="9" t="s">
        <v>15</v>
      </c>
      <c r="E7" s="9" t="e">
        <f>#REF!</f>
        <v>#REF!</v>
      </c>
      <c r="F7" s="9" t="e">
        <f>#REF!</f>
        <v>#REF!</v>
      </c>
      <c r="G7" s="9" t="e">
        <f>#REF!</f>
        <v>#REF!</v>
      </c>
      <c r="H7" s="10">
        <f t="shared" si="0"/>
        <v>0</v>
      </c>
      <c r="I7" s="10">
        <f t="shared" si="1"/>
        <v>0</v>
      </c>
      <c r="J7" s="10">
        <f t="shared" si="2"/>
        <v>0</v>
      </c>
      <c r="K7" s="10">
        <f t="shared" si="3"/>
        <v>0</v>
      </c>
      <c r="L7" s="1" t="str">
        <f t="shared" si="4"/>
        <v>NA</v>
      </c>
      <c r="M7" s="1">
        <v>1</v>
      </c>
      <c r="N7" s="9" t="e">
        <f>#REF!</f>
        <v>#REF!</v>
      </c>
      <c r="O7" s="9" t="e">
        <f>#REF!</f>
        <v>#REF!</v>
      </c>
      <c r="P7" s="9" t="e">
        <f>#REF!</f>
        <v>#REF!</v>
      </c>
      <c r="Q7" s="9" t="e">
        <f>#REF!</f>
        <v>#REF!</v>
      </c>
      <c r="R7" s="9" t="e">
        <f>#REF!</f>
        <v>#REF!</v>
      </c>
      <c r="S7" s="10">
        <f t="shared" si="5"/>
        <v>0</v>
      </c>
    </row>
    <row r="8" spans="1:19" x14ac:dyDescent="0.35">
      <c r="A8" s="1">
        <v>1</v>
      </c>
      <c r="B8" s="9" t="e">
        <f>#REF!</f>
        <v>#REF!</v>
      </c>
      <c r="C8" s="9" t="e">
        <f>#REF!</f>
        <v>#REF!</v>
      </c>
      <c r="D8" s="9" t="s">
        <v>15</v>
      </c>
      <c r="E8" s="9" t="e">
        <f>#REF!</f>
        <v>#REF!</v>
      </c>
      <c r="F8" s="9" t="e">
        <f>#REF!</f>
        <v>#REF!</v>
      </c>
      <c r="G8" s="9" t="e">
        <f>#REF!</f>
        <v>#REF!</v>
      </c>
      <c r="H8" s="10">
        <f t="shared" si="0"/>
        <v>0</v>
      </c>
      <c r="I8" s="10">
        <f t="shared" si="1"/>
        <v>0</v>
      </c>
      <c r="J8" s="10">
        <f t="shared" si="2"/>
        <v>0</v>
      </c>
      <c r="K8" s="10">
        <f t="shared" si="3"/>
        <v>0</v>
      </c>
      <c r="L8" s="1" t="str">
        <f t="shared" si="4"/>
        <v>NA</v>
      </c>
      <c r="M8" s="1">
        <v>1</v>
      </c>
      <c r="N8" s="9" t="e">
        <f>#REF!</f>
        <v>#REF!</v>
      </c>
      <c r="O8" s="9" t="e">
        <f>#REF!</f>
        <v>#REF!</v>
      </c>
      <c r="P8" s="9" t="e">
        <f>#REF!</f>
        <v>#REF!</v>
      </c>
      <c r="Q8" s="9" t="e">
        <f>#REF!</f>
        <v>#REF!</v>
      </c>
      <c r="R8" s="9" t="e">
        <f>#REF!</f>
        <v>#REF!</v>
      </c>
      <c r="S8" s="10">
        <f t="shared" si="5"/>
        <v>0</v>
      </c>
    </row>
    <row r="9" spans="1:19" x14ac:dyDescent="0.35">
      <c r="A9" s="1">
        <v>1</v>
      </c>
      <c r="B9" s="9" t="e">
        <f>#REF!</f>
        <v>#REF!</v>
      </c>
      <c r="C9" s="9" t="e">
        <f>#REF!</f>
        <v>#REF!</v>
      </c>
      <c r="D9" s="9" t="s">
        <v>15</v>
      </c>
      <c r="E9" s="9" t="e">
        <f>#REF!</f>
        <v>#REF!</v>
      </c>
      <c r="F9" s="9" t="e">
        <f>#REF!</f>
        <v>#REF!</v>
      </c>
      <c r="G9" s="9" t="e">
        <f>#REF!</f>
        <v>#REF!</v>
      </c>
      <c r="H9" s="10">
        <f t="shared" si="0"/>
        <v>0</v>
      </c>
      <c r="I9" s="10">
        <f t="shared" si="1"/>
        <v>0</v>
      </c>
      <c r="J9" s="10">
        <f t="shared" si="2"/>
        <v>0</v>
      </c>
      <c r="K9" s="10">
        <f t="shared" si="3"/>
        <v>0</v>
      </c>
      <c r="L9" s="1" t="str">
        <f t="shared" si="4"/>
        <v>NA</v>
      </c>
      <c r="M9" s="1">
        <v>1</v>
      </c>
      <c r="N9" s="9" t="e">
        <f>#REF!</f>
        <v>#REF!</v>
      </c>
      <c r="O9" s="9" t="e">
        <f>#REF!</f>
        <v>#REF!</v>
      </c>
      <c r="P9" s="9" t="e">
        <f>#REF!</f>
        <v>#REF!</v>
      </c>
      <c r="Q9" s="9" t="e">
        <f>#REF!</f>
        <v>#REF!</v>
      </c>
      <c r="R9" s="9" t="e">
        <f>#REF!</f>
        <v>#REF!</v>
      </c>
      <c r="S9" s="10">
        <f t="shared" si="5"/>
        <v>0</v>
      </c>
    </row>
    <row r="10" spans="1:19" x14ac:dyDescent="0.35">
      <c r="A10" s="11"/>
      <c r="B10" s="12"/>
      <c r="C10" s="12"/>
      <c r="D10" s="12"/>
      <c r="E10" s="12"/>
      <c r="F10" s="12"/>
      <c r="G10" s="12"/>
      <c r="H10" s="13">
        <f>SUM(H3:H9)</f>
        <v>0</v>
      </c>
      <c r="I10" s="13">
        <f>SUM(I3:I9)</f>
        <v>0</v>
      </c>
      <c r="J10" s="13">
        <f>SUM(J3:J9)</f>
        <v>0</v>
      </c>
      <c r="K10" s="13">
        <f>SUM(K3:K9)</f>
        <v>0</v>
      </c>
      <c r="L10" s="1"/>
      <c r="M10" s="11"/>
      <c r="N10" s="12"/>
      <c r="O10" s="12"/>
      <c r="P10" s="12"/>
      <c r="Q10" s="12"/>
      <c r="R10" s="12"/>
      <c r="S10" s="13">
        <f>SUM(S1:S9)</f>
        <v>0</v>
      </c>
    </row>
    <row r="11" spans="1:19" x14ac:dyDescent="0.35">
      <c r="A11" s="1">
        <v>2</v>
      </c>
      <c r="B11" s="9" t="e">
        <f>#REF!</f>
        <v>#REF!</v>
      </c>
      <c r="C11" s="9" t="e">
        <f>#REF!</f>
        <v>#REF!</v>
      </c>
      <c r="D11" s="9" t="s">
        <v>15</v>
      </c>
      <c r="E11" s="9" t="e">
        <f>#REF!</f>
        <v>#REF!</v>
      </c>
      <c r="F11" s="9" t="e">
        <f>#REF!</f>
        <v>#REF!</v>
      </c>
      <c r="G11" s="9" t="e">
        <f>#REF!</f>
        <v>#REF!</v>
      </c>
      <c r="H11" s="10">
        <f>COUNTIF(E11:G11,"C")</f>
        <v>0</v>
      </c>
      <c r="I11" s="10">
        <f>COUNTIF(E11:G11,"NC")</f>
        <v>0</v>
      </c>
      <c r="J11" s="10">
        <f>COUNTIF(E11:G11,"NA")</f>
        <v>0</v>
      </c>
      <c r="K11" s="10">
        <f>COUNTIF(E11:G11,"NT")</f>
        <v>0</v>
      </c>
      <c r="L11" s="1" t="str">
        <f>IF(I11&gt;0,"NC",IF(H11&gt;0,"C",IF(K11&gt;0,"NT","NA")))</f>
        <v>NA</v>
      </c>
      <c r="M11" s="1">
        <v>2</v>
      </c>
      <c r="N11" s="9" t="e">
        <f>#REF!</f>
        <v>#REF!</v>
      </c>
      <c r="O11" s="9" t="e">
        <f>#REF!</f>
        <v>#REF!</v>
      </c>
      <c r="P11" s="9" t="e">
        <f>#REF!</f>
        <v>#REF!</v>
      </c>
      <c r="Q11" s="9" t="e">
        <f>#REF!</f>
        <v>#REF!</v>
      </c>
      <c r="R11" s="9" t="e">
        <f>#REF!</f>
        <v>#REF!</v>
      </c>
      <c r="S11" s="10">
        <f>COUNTIF(P11:R11,"D")</f>
        <v>0</v>
      </c>
    </row>
    <row r="12" spans="1:19" x14ac:dyDescent="0.35">
      <c r="A12" s="11"/>
      <c r="B12" s="12"/>
      <c r="C12" s="12"/>
      <c r="D12" s="12"/>
      <c r="E12" s="12"/>
      <c r="F12" s="12"/>
      <c r="G12" s="12"/>
      <c r="H12" s="13">
        <f>SUM(H11:H11)</f>
        <v>0</v>
      </c>
      <c r="I12" s="13">
        <f>SUM(I11:I11)</f>
        <v>0</v>
      </c>
      <c r="J12" s="13">
        <f>SUM(J11:J11)</f>
        <v>0</v>
      </c>
      <c r="K12" s="13">
        <f>SUM(K11:K11)</f>
        <v>0</v>
      </c>
      <c r="L12" s="1"/>
      <c r="M12" s="11"/>
      <c r="N12" s="12"/>
      <c r="O12" s="12"/>
      <c r="P12" s="12"/>
      <c r="Q12" s="12"/>
      <c r="R12" s="12"/>
      <c r="S12" s="13">
        <f>SUM(S11:S11)</f>
        <v>0</v>
      </c>
    </row>
    <row r="13" spans="1:19" x14ac:dyDescent="0.35">
      <c r="A13" s="1">
        <v>3</v>
      </c>
      <c r="B13" s="9" t="e">
        <f>#REF!</f>
        <v>#REF!</v>
      </c>
      <c r="C13" s="9" t="e">
        <f>#REF!</f>
        <v>#REF!</v>
      </c>
      <c r="D13" s="9" t="s">
        <v>15</v>
      </c>
      <c r="E13" s="9" t="e">
        <f>#REF!</f>
        <v>#REF!</v>
      </c>
      <c r="F13" s="9" t="e">
        <f>#REF!</f>
        <v>#REF!</v>
      </c>
      <c r="G13" s="9" t="e">
        <f>#REF!</f>
        <v>#REF!</v>
      </c>
      <c r="H13" s="10">
        <f>COUNTIF(E13:G13,"C")</f>
        <v>0</v>
      </c>
      <c r="I13" s="10">
        <f>COUNTIF(E13:G13,"NC")</f>
        <v>0</v>
      </c>
      <c r="J13" s="10">
        <f>COUNTIF(E13:G13,"NA")</f>
        <v>0</v>
      </c>
      <c r="K13" s="10">
        <f>COUNTIF(E13:G13,"NT")</f>
        <v>0</v>
      </c>
      <c r="L13" s="1" t="str">
        <f t="shared" ref="L13:L67" si="6">IF(I13&gt;0,"NC",IF(H13&gt;0,"C",IF(K13&gt;0,"NT","NA")))</f>
        <v>NA</v>
      </c>
      <c r="M13" s="1">
        <v>3</v>
      </c>
      <c r="N13" s="9" t="e">
        <f>#REF!</f>
        <v>#REF!</v>
      </c>
      <c r="O13" s="9" t="e">
        <f>#REF!</f>
        <v>#REF!</v>
      </c>
      <c r="P13" s="9" t="e">
        <f>#REF!</f>
        <v>#REF!</v>
      </c>
      <c r="Q13" s="9" t="e">
        <f>#REF!</f>
        <v>#REF!</v>
      </c>
      <c r="R13" s="9" t="e">
        <f>#REF!</f>
        <v>#REF!</v>
      </c>
      <c r="S13" s="10">
        <f>COUNTIF(P13:R13,"D")</f>
        <v>0</v>
      </c>
    </row>
    <row r="14" spans="1:19" x14ac:dyDescent="0.35">
      <c r="A14" s="1">
        <v>3</v>
      </c>
      <c r="B14" s="9" t="e">
        <f>#REF!</f>
        <v>#REF!</v>
      </c>
      <c r="C14" s="9" t="e">
        <f>#REF!</f>
        <v>#REF!</v>
      </c>
      <c r="D14" s="9" t="s">
        <v>16</v>
      </c>
      <c r="E14" s="9" t="e">
        <f>#REF!</f>
        <v>#REF!</v>
      </c>
      <c r="F14" s="9" t="e">
        <f>#REF!</f>
        <v>#REF!</v>
      </c>
      <c r="G14" s="9" t="e">
        <f>#REF!</f>
        <v>#REF!</v>
      </c>
      <c r="H14" s="10">
        <f>COUNTIF(E14:G14,"C")</f>
        <v>0</v>
      </c>
      <c r="I14" s="10">
        <f>COUNTIF(E14:G14,"NC")</f>
        <v>0</v>
      </c>
      <c r="J14" s="10">
        <f>COUNTIF(E14:G14,"NA")</f>
        <v>0</v>
      </c>
      <c r="K14" s="10">
        <f>COUNTIF(E14:G14,"NT")</f>
        <v>0</v>
      </c>
      <c r="L14" s="1" t="str">
        <f t="shared" si="6"/>
        <v>NA</v>
      </c>
      <c r="M14" s="1">
        <v>3</v>
      </c>
      <c r="N14" s="9" t="e">
        <f>#REF!</f>
        <v>#REF!</v>
      </c>
      <c r="O14" s="9" t="e">
        <f>#REF!</f>
        <v>#REF!</v>
      </c>
      <c r="P14" s="9" t="e">
        <f>#REF!</f>
        <v>#REF!</v>
      </c>
      <c r="Q14" s="9" t="e">
        <f>#REF!</f>
        <v>#REF!</v>
      </c>
      <c r="R14" s="9" t="e">
        <f>#REF!</f>
        <v>#REF!</v>
      </c>
      <c r="S14" s="10">
        <f>COUNTIF(P14:R14,"D")</f>
        <v>0</v>
      </c>
    </row>
    <row r="15" spans="1:19" x14ac:dyDescent="0.35">
      <c r="A15" s="11"/>
      <c r="B15" s="12"/>
      <c r="C15" s="12"/>
      <c r="D15" s="12"/>
      <c r="E15" s="12"/>
      <c r="F15" s="12"/>
      <c r="G15" s="12"/>
      <c r="H15" s="13">
        <f>SUM(H13:H14)</f>
        <v>0</v>
      </c>
      <c r="I15" s="13">
        <f>SUM(I13:I14)</f>
        <v>0</v>
      </c>
      <c r="J15" s="13">
        <f>SUM(J13:J14)</f>
        <v>0</v>
      </c>
      <c r="K15" s="13">
        <f>SUM(K13:K14)</f>
        <v>0</v>
      </c>
      <c r="L15" s="1"/>
      <c r="M15" s="11"/>
      <c r="N15" s="12"/>
      <c r="O15" s="12"/>
      <c r="P15" s="12"/>
      <c r="Q15" s="12"/>
      <c r="R15" s="12"/>
      <c r="S15" s="13">
        <f>SUM(S13:S14)</f>
        <v>0</v>
      </c>
    </row>
    <row r="16" spans="1:19" x14ac:dyDescent="0.35">
      <c r="A16" s="1">
        <v>4</v>
      </c>
      <c r="B16" s="9" t="e">
        <f>#REF!</f>
        <v>#REF!</v>
      </c>
      <c r="C16" s="9" t="e">
        <f>#REF!</f>
        <v>#REF!</v>
      </c>
      <c r="D16" s="9" t="s">
        <v>15</v>
      </c>
      <c r="E16" s="9" t="e">
        <f>#REF!</f>
        <v>#REF!</v>
      </c>
      <c r="F16" s="9" t="e">
        <f>#REF!</f>
        <v>#REF!</v>
      </c>
      <c r="G16" s="9" t="e">
        <f>#REF!</f>
        <v>#REF!</v>
      </c>
      <c r="H16" s="10">
        <f t="shared" ref="H16:H23" si="7">COUNTIF(E16:G16,"C")</f>
        <v>0</v>
      </c>
      <c r="I16" s="10">
        <f t="shared" ref="I16:I23" si="8">COUNTIF(E16:G16,"NC")</f>
        <v>0</v>
      </c>
      <c r="J16" s="10">
        <f t="shared" ref="J16:J23" si="9">COUNTIF(E16:G16,"NA")</f>
        <v>0</v>
      </c>
      <c r="K16" s="10">
        <f t="shared" ref="K16:K23" si="10">COUNTIF(E16:G16,"NT")</f>
        <v>0</v>
      </c>
      <c r="L16" s="1" t="str">
        <f t="shared" si="6"/>
        <v>NA</v>
      </c>
      <c r="M16" s="1">
        <v>4</v>
      </c>
      <c r="N16" s="9" t="e">
        <f>#REF!</f>
        <v>#REF!</v>
      </c>
      <c r="O16" s="9" t="e">
        <f>#REF!</f>
        <v>#REF!</v>
      </c>
      <c r="P16" s="9" t="e">
        <f>#REF!</f>
        <v>#REF!</v>
      </c>
      <c r="Q16" s="9" t="e">
        <f>#REF!</f>
        <v>#REF!</v>
      </c>
      <c r="R16" s="9" t="e">
        <f>#REF!</f>
        <v>#REF!</v>
      </c>
      <c r="S16" s="10">
        <f t="shared" ref="S16:S23" si="11">COUNTIF(P16:R16,"D")</f>
        <v>0</v>
      </c>
    </row>
    <row r="17" spans="1:19" x14ac:dyDescent="0.35">
      <c r="A17" s="1">
        <v>4</v>
      </c>
      <c r="B17" s="9" t="e">
        <f>#REF!</f>
        <v>#REF!</v>
      </c>
      <c r="C17" s="9" t="e">
        <f>#REF!</f>
        <v>#REF!</v>
      </c>
      <c r="D17" s="9" t="s">
        <v>15</v>
      </c>
      <c r="E17" s="9" t="e">
        <f>#REF!</f>
        <v>#REF!</v>
      </c>
      <c r="F17" s="9" t="e">
        <f>#REF!</f>
        <v>#REF!</v>
      </c>
      <c r="G17" s="9" t="e">
        <f>#REF!</f>
        <v>#REF!</v>
      </c>
      <c r="H17" s="10">
        <f t="shared" si="7"/>
        <v>0</v>
      </c>
      <c r="I17" s="10">
        <f t="shared" si="8"/>
        <v>0</v>
      </c>
      <c r="J17" s="10">
        <f t="shared" si="9"/>
        <v>0</v>
      </c>
      <c r="K17" s="10">
        <f t="shared" si="10"/>
        <v>0</v>
      </c>
      <c r="L17" s="1" t="str">
        <f t="shared" si="6"/>
        <v>NA</v>
      </c>
      <c r="M17" s="1">
        <v>4</v>
      </c>
      <c r="N17" s="9" t="e">
        <f>#REF!</f>
        <v>#REF!</v>
      </c>
      <c r="O17" s="9" t="e">
        <f>#REF!</f>
        <v>#REF!</v>
      </c>
      <c r="P17" s="9" t="e">
        <f>#REF!</f>
        <v>#REF!</v>
      </c>
      <c r="Q17" s="9" t="e">
        <f>#REF!</f>
        <v>#REF!</v>
      </c>
      <c r="R17" s="9" t="e">
        <f>#REF!</f>
        <v>#REF!</v>
      </c>
      <c r="S17" s="10">
        <f t="shared" si="11"/>
        <v>0</v>
      </c>
    </row>
    <row r="18" spans="1:19" x14ac:dyDescent="0.35">
      <c r="A18" s="1">
        <v>4</v>
      </c>
      <c r="B18" s="9" t="e">
        <f>#REF!</f>
        <v>#REF!</v>
      </c>
      <c r="C18" s="9" t="e">
        <f>#REF!</f>
        <v>#REF!</v>
      </c>
      <c r="D18" s="9" t="s">
        <v>15</v>
      </c>
      <c r="E18" s="9" t="e">
        <f>#REF!</f>
        <v>#REF!</v>
      </c>
      <c r="F18" s="9" t="e">
        <f>#REF!</f>
        <v>#REF!</v>
      </c>
      <c r="G18" s="9" t="e">
        <f>#REF!</f>
        <v>#REF!</v>
      </c>
      <c r="H18" s="10">
        <f t="shared" si="7"/>
        <v>0</v>
      </c>
      <c r="I18" s="10">
        <f t="shared" si="8"/>
        <v>0</v>
      </c>
      <c r="J18" s="10">
        <f t="shared" si="9"/>
        <v>0</v>
      </c>
      <c r="K18" s="10">
        <f t="shared" si="10"/>
        <v>0</v>
      </c>
      <c r="L18" s="1" t="str">
        <f t="shared" si="6"/>
        <v>NA</v>
      </c>
      <c r="M18" s="1">
        <v>4</v>
      </c>
      <c r="N18" s="9" t="e">
        <f>#REF!</f>
        <v>#REF!</v>
      </c>
      <c r="O18" s="9" t="e">
        <f>#REF!</f>
        <v>#REF!</v>
      </c>
      <c r="P18" s="9" t="e">
        <f>#REF!</f>
        <v>#REF!</v>
      </c>
      <c r="Q18" s="9" t="e">
        <f>#REF!</f>
        <v>#REF!</v>
      </c>
      <c r="R18" s="9" t="e">
        <f>#REF!</f>
        <v>#REF!</v>
      </c>
      <c r="S18" s="10">
        <f t="shared" si="11"/>
        <v>0</v>
      </c>
    </row>
    <row r="19" spans="1:19" x14ac:dyDescent="0.35">
      <c r="A19" s="1">
        <v>4</v>
      </c>
      <c r="B19" s="9" t="e">
        <f>#REF!</f>
        <v>#REF!</v>
      </c>
      <c r="C19" s="9" t="e">
        <f>#REF!</f>
        <v>#REF!</v>
      </c>
      <c r="D19" s="9" t="s">
        <v>15</v>
      </c>
      <c r="E19" s="9" t="e">
        <f>#REF!</f>
        <v>#REF!</v>
      </c>
      <c r="F19" s="9" t="e">
        <f>#REF!</f>
        <v>#REF!</v>
      </c>
      <c r="G19" s="9" t="e">
        <f>#REF!</f>
        <v>#REF!</v>
      </c>
      <c r="H19" s="10">
        <f t="shared" si="7"/>
        <v>0</v>
      </c>
      <c r="I19" s="10">
        <f t="shared" si="8"/>
        <v>0</v>
      </c>
      <c r="J19" s="10">
        <f t="shared" si="9"/>
        <v>0</v>
      </c>
      <c r="K19" s="10">
        <f t="shared" si="10"/>
        <v>0</v>
      </c>
      <c r="L19" s="1" t="str">
        <f t="shared" si="6"/>
        <v>NA</v>
      </c>
      <c r="M19" s="1">
        <v>4</v>
      </c>
      <c r="N19" s="9" t="e">
        <f>#REF!</f>
        <v>#REF!</v>
      </c>
      <c r="O19" s="9" t="e">
        <f>#REF!</f>
        <v>#REF!</v>
      </c>
      <c r="P19" s="9" t="e">
        <f>#REF!</f>
        <v>#REF!</v>
      </c>
      <c r="Q19" s="9" t="e">
        <f>#REF!</f>
        <v>#REF!</v>
      </c>
      <c r="R19" s="9" t="e">
        <f>#REF!</f>
        <v>#REF!</v>
      </c>
      <c r="S19" s="10">
        <f t="shared" si="11"/>
        <v>0</v>
      </c>
    </row>
    <row r="20" spans="1:19" x14ac:dyDescent="0.35">
      <c r="A20" s="1">
        <v>4</v>
      </c>
      <c r="B20" s="9" t="e">
        <f>#REF!</f>
        <v>#REF!</v>
      </c>
      <c r="C20" s="9" t="e">
        <f>#REF!</f>
        <v>#REF!</v>
      </c>
      <c r="D20" s="9" t="s">
        <v>15</v>
      </c>
      <c r="E20" s="9" t="e">
        <f>#REF!</f>
        <v>#REF!</v>
      </c>
      <c r="F20" s="9" t="e">
        <f>#REF!</f>
        <v>#REF!</v>
      </c>
      <c r="G20" s="9" t="e">
        <f>#REF!</f>
        <v>#REF!</v>
      </c>
      <c r="H20" s="10">
        <f t="shared" si="7"/>
        <v>0</v>
      </c>
      <c r="I20" s="10">
        <f t="shared" si="8"/>
        <v>0</v>
      </c>
      <c r="J20" s="10">
        <f t="shared" si="9"/>
        <v>0</v>
      </c>
      <c r="K20" s="10">
        <f t="shared" si="10"/>
        <v>0</v>
      </c>
      <c r="L20" s="1" t="str">
        <f t="shared" si="6"/>
        <v>NA</v>
      </c>
      <c r="M20" s="1">
        <v>4</v>
      </c>
      <c r="N20" s="9" t="e">
        <f>#REF!</f>
        <v>#REF!</v>
      </c>
      <c r="O20" s="9" t="e">
        <f>#REF!</f>
        <v>#REF!</v>
      </c>
      <c r="P20" s="9" t="e">
        <f>#REF!</f>
        <v>#REF!</v>
      </c>
      <c r="Q20" s="9" t="e">
        <f>#REF!</f>
        <v>#REF!</v>
      </c>
      <c r="R20" s="9" t="e">
        <f>#REF!</f>
        <v>#REF!</v>
      </c>
      <c r="S20" s="10">
        <f t="shared" si="11"/>
        <v>0</v>
      </c>
    </row>
    <row r="21" spans="1:19" x14ac:dyDescent="0.35">
      <c r="A21" s="1">
        <v>4</v>
      </c>
      <c r="B21" s="9" t="e">
        <f>#REF!</f>
        <v>#REF!</v>
      </c>
      <c r="C21" s="9" t="e">
        <f>#REF!</f>
        <v>#REF!</v>
      </c>
      <c r="D21" s="9" t="s">
        <v>15</v>
      </c>
      <c r="E21" s="9" t="e">
        <f>#REF!</f>
        <v>#REF!</v>
      </c>
      <c r="F21" s="9" t="e">
        <f>#REF!</f>
        <v>#REF!</v>
      </c>
      <c r="G21" s="9" t="e">
        <f>#REF!</f>
        <v>#REF!</v>
      </c>
      <c r="H21" s="10">
        <f t="shared" si="7"/>
        <v>0</v>
      </c>
      <c r="I21" s="10">
        <f t="shared" si="8"/>
        <v>0</v>
      </c>
      <c r="J21" s="10">
        <f t="shared" si="9"/>
        <v>0</v>
      </c>
      <c r="K21" s="10">
        <f t="shared" si="10"/>
        <v>0</v>
      </c>
      <c r="L21" s="1" t="str">
        <f t="shared" si="6"/>
        <v>NA</v>
      </c>
      <c r="M21" s="1">
        <v>4</v>
      </c>
      <c r="N21" s="9" t="e">
        <f>#REF!</f>
        <v>#REF!</v>
      </c>
      <c r="O21" s="9" t="e">
        <f>#REF!</f>
        <v>#REF!</v>
      </c>
      <c r="P21" s="9" t="e">
        <f>#REF!</f>
        <v>#REF!</v>
      </c>
      <c r="Q21" s="9" t="e">
        <f>#REF!</f>
        <v>#REF!</v>
      </c>
      <c r="R21" s="9" t="e">
        <f>#REF!</f>
        <v>#REF!</v>
      </c>
      <c r="S21" s="10">
        <f t="shared" si="11"/>
        <v>0</v>
      </c>
    </row>
    <row r="22" spans="1:19" x14ac:dyDescent="0.35">
      <c r="A22" s="1">
        <v>4</v>
      </c>
      <c r="B22" s="9" t="e">
        <f>#REF!</f>
        <v>#REF!</v>
      </c>
      <c r="C22" s="9" t="e">
        <f>#REF!</f>
        <v>#REF!</v>
      </c>
      <c r="D22" s="9" t="s">
        <v>15</v>
      </c>
      <c r="E22" s="9" t="e">
        <f>#REF!</f>
        <v>#REF!</v>
      </c>
      <c r="F22" s="9" t="e">
        <f>#REF!</f>
        <v>#REF!</v>
      </c>
      <c r="G22" s="9" t="e">
        <f>#REF!</f>
        <v>#REF!</v>
      </c>
      <c r="H22" s="10">
        <f t="shared" si="7"/>
        <v>0</v>
      </c>
      <c r="I22" s="10">
        <f t="shared" si="8"/>
        <v>0</v>
      </c>
      <c r="J22" s="10">
        <f t="shared" si="9"/>
        <v>0</v>
      </c>
      <c r="K22" s="10">
        <f t="shared" si="10"/>
        <v>0</v>
      </c>
      <c r="L22" s="1" t="str">
        <f t="shared" si="6"/>
        <v>NA</v>
      </c>
      <c r="M22" s="1">
        <v>4</v>
      </c>
      <c r="N22" s="9" t="e">
        <f>#REF!</f>
        <v>#REF!</v>
      </c>
      <c r="O22" s="9" t="e">
        <f>#REF!</f>
        <v>#REF!</v>
      </c>
      <c r="P22" s="9" t="e">
        <f>#REF!</f>
        <v>#REF!</v>
      </c>
      <c r="Q22" s="9" t="e">
        <f>#REF!</f>
        <v>#REF!</v>
      </c>
      <c r="R22" s="9" t="e">
        <f>#REF!</f>
        <v>#REF!</v>
      </c>
      <c r="S22" s="10">
        <f t="shared" si="11"/>
        <v>0</v>
      </c>
    </row>
    <row r="23" spans="1:19" x14ac:dyDescent="0.35">
      <c r="A23" s="1">
        <v>4</v>
      </c>
      <c r="B23" s="9" t="e">
        <f>#REF!</f>
        <v>#REF!</v>
      </c>
      <c r="C23" s="9" t="e">
        <f>#REF!</f>
        <v>#REF!</v>
      </c>
      <c r="D23" s="9" t="s">
        <v>15</v>
      </c>
      <c r="E23" s="9" t="e">
        <f>#REF!</f>
        <v>#REF!</v>
      </c>
      <c r="F23" s="9" t="e">
        <f>#REF!</f>
        <v>#REF!</v>
      </c>
      <c r="G23" s="9" t="e">
        <f>#REF!</f>
        <v>#REF!</v>
      </c>
      <c r="H23" s="10">
        <f t="shared" si="7"/>
        <v>0</v>
      </c>
      <c r="I23" s="10">
        <f t="shared" si="8"/>
        <v>0</v>
      </c>
      <c r="J23" s="10">
        <f t="shared" si="9"/>
        <v>0</v>
      </c>
      <c r="K23" s="10">
        <f t="shared" si="10"/>
        <v>0</v>
      </c>
      <c r="L23" s="1" t="str">
        <f t="shared" si="6"/>
        <v>NA</v>
      </c>
      <c r="M23" s="1">
        <v>4</v>
      </c>
      <c r="N23" s="9" t="e">
        <f>#REF!</f>
        <v>#REF!</v>
      </c>
      <c r="O23" s="9" t="e">
        <f>#REF!</f>
        <v>#REF!</v>
      </c>
      <c r="P23" s="9" t="e">
        <f>#REF!</f>
        <v>#REF!</v>
      </c>
      <c r="Q23" s="9" t="e">
        <f>#REF!</f>
        <v>#REF!</v>
      </c>
      <c r="R23" s="9" t="e">
        <f>#REF!</f>
        <v>#REF!</v>
      </c>
      <c r="S23" s="10">
        <f t="shared" si="11"/>
        <v>0</v>
      </c>
    </row>
    <row r="24" spans="1:19" x14ac:dyDescent="0.35">
      <c r="A24" s="11"/>
      <c r="B24" s="12"/>
      <c r="C24" s="12"/>
      <c r="D24" s="12"/>
      <c r="E24" s="12"/>
      <c r="F24" s="12"/>
      <c r="G24" s="12"/>
      <c r="H24" s="13">
        <f>SUM(H16:H23)</f>
        <v>0</v>
      </c>
      <c r="I24" s="13">
        <f>SUM(I16:I23)</f>
        <v>0</v>
      </c>
      <c r="J24" s="13">
        <f>SUM(J16:J23)</f>
        <v>0</v>
      </c>
      <c r="K24" s="13">
        <f>SUM(K16:K23)</f>
        <v>0</v>
      </c>
      <c r="L24" s="1"/>
      <c r="M24" s="11"/>
      <c r="N24" s="12"/>
      <c r="O24" s="12"/>
      <c r="P24" s="12"/>
      <c r="Q24" s="12"/>
      <c r="R24" s="12"/>
      <c r="S24" s="13">
        <f>SUM(S16:S23)</f>
        <v>0</v>
      </c>
    </row>
    <row r="25" spans="1:19" x14ac:dyDescent="0.35">
      <c r="A25" s="1">
        <v>5</v>
      </c>
      <c r="B25" s="9" t="e">
        <f>#REF!</f>
        <v>#REF!</v>
      </c>
      <c r="C25" s="9" t="e">
        <f>#REF!</f>
        <v>#REF!</v>
      </c>
      <c r="D25" s="9" t="s">
        <v>15</v>
      </c>
      <c r="E25" s="9" t="e">
        <f>#REF!</f>
        <v>#REF!</v>
      </c>
      <c r="F25" s="9" t="e">
        <f>#REF!</f>
        <v>#REF!</v>
      </c>
      <c r="G25" s="9" t="e">
        <f>#REF!</f>
        <v>#REF!</v>
      </c>
      <c r="H25" s="10">
        <f>COUNTIF(E25:G25,"C")</f>
        <v>0</v>
      </c>
      <c r="I25" s="10">
        <f>COUNTIF(E25:G25,"NC")</f>
        <v>0</v>
      </c>
      <c r="J25" s="10">
        <f>COUNTIF(E25:G25,"NA")</f>
        <v>0</v>
      </c>
      <c r="K25" s="10">
        <f>COUNTIF(E25:G25,"NT")</f>
        <v>0</v>
      </c>
      <c r="L25" s="1" t="str">
        <f t="shared" si="6"/>
        <v>NA</v>
      </c>
      <c r="M25" s="1">
        <v>5</v>
      </c>
      <c r="N25" s="9" t="e">
        <f>#REF!</f>
        <v>#REF!</v>
      </c>
      <c r="O25" s="9" t="e">
        <f>#REF!</f>
        <v>#REF!</v>
      </c>
      <c r="P25" s="9" t="e">
        <f>#REF!</f>
        <v>#REF!</v>
      </c>
      <c r="Q25" s="9" t="e">
        <f>#REF!</f>
        <v>#REF!</v>
      </c>
      <c r="R25" s="9" t="e">
        <f>#REF!</f>
        <v>#REF!</v>
      </c>
      <c r="S25" s="10">
        <f>COUNTIF(P25:R25,"D")</f>
        <v>0</v>
      </c>
    </row>
    <row r="26" spans="1:19" x14ac:dyDescent="0.35">
      <c r="A26" s="1">
        <v>5</v>
      </c>
      <c r="B26" s="9" t="e">
        <f>#REF!</f>
        <v>#REF!</v>
      </c>
      <c r="C26" s="9" t="e">
        <f>#REF!</f>
        <v>#REF!</v>
      </c>
      <c r="D26" s="9" t="s">
        <v>15</v>
      </c>
      <c r="E26" s="9" t="e">
        <f>#REF!</f>
        <v>#REF!</v>
      </c>
      <c r="F26" s="9" t="e">
        <f>#REF!</f>
        <v>#REF!</v>
      </c>
      <c r="G26" s="9" t="e">
        <f>#REF!</f>
        <v>#REF!</v>
      </c>
      <c r="H26" s="10">
        <f>COUNTIF(E26:G26,"C")</f>
        <v>0</v>
      </c>
      <c r="I26" s="10">
        <f>COUNTIF(E26:G26,"NC")</f>
        <v>0</v>
      </c>
      <c r="J26" s="10">
        <f>COUNTIF(E26:G26,"NA")</f>
        <v>0</v>
      </c>
      <c r="K26" s="10">
        <f>COUNTIF(E26:G26,"NT")</f>
        <v>0</v>
      </c>
      <c r="L26" s="1" t="str">
        <f t="shared" si="6"/>
        <v>NA</v>
      </c>
      <c r="M26" s="1">
        <v>5</v>
      </c>
      <c r="N26" s="9" t="e">
        <f>#REF!</f>
        <v>#REF!</v>
      </c>
      <c r="O26" s="9" t="e">
        <f>#REF!</f>
        <v>#REF!</v>
      </c>
      <c r="P26" s="9" t="e">
        <f>#REF!</f>
        <v>#REF!</v>
      </c>
      <c r="Q26" s="9" t="e">
        <f>#REF!</f>
        <v>#REF!</v>
      </c>
      <c r="R26" s="9" t="e">
        <f>#REF!</f>
        <v>#REF!</v>
      </c>
      <c r="S26" s="10">
        <f>COUNTIF(P26:R26,"D")</f>
        <v>0</v>
      </c>
    </row>
    <row r="27" spans="1:19" x14ac:dyDescent="0.35">
      <c r="A27" s="11"/>
      <c r="B27" s="12"/>
      <c r="C27" s="12"/>
      <c r="D27" s="12"/>
      <c r="E27" s="12"/>
      <c r="F27" s="12"/>
      <c r="G27" s="12"/>
      <c r="H27" s="13">
        <f>SUM(H25:H26)</f>
        <v>0</v>
      </c>
      <c r="I27" s="13">
        <f>SUM(I25:I26)</f>
        <v>0</v>
      </c>
      <c r="J27" s="13">
        <f>SUM(J25:J26)</f>
        <v>0</v>
      </c>
      <c r="K27" s="13">
        <f>SUM(K25:K26)</f>
        <v>0</v>
      </c>
      <c r="L27" s="1"/>
      <c r="M27" s="11"/>
      <c r="N27" s="12"/>
      <c r="O27" s="12"/>
      <c r="P27" s="12"/>
      <c r="Q27" s="12"/>
      <c r="R27" s="12"/>
      <c r="S27" s="13">
        <f>SUM(S25:S26)</f>
        <v>0</v>
      </c>
    </row>
    <row r="28" spans="1:19" x14ac:dyDescent="0.35">
      <c r="A28" s="1">
        <v>6</v>
      </c>
      <c r="B28" s="9" t="e">
        <f>#REF!</f>
        <v>#REF!</v>
      </c>
      <c r="C28" s="9" t="e">
        <f>#REF!</f>
        <v>#REF!</v>
      </c>
      <c r="D28" s="9" t="s">
        <v>15</v>
      </c>
      <c r="E28" s="9" t="e">
        <f>#REF!</f>
        <v>#REF!</v>
      </c>
      <c r="F28" s="9" t="e">
        <f>#REF!</f>
        <v>#REF!</v>
      </c>
      <c r="G28" s="9" t="e">
        <f>#REF!</f>
        <v>#REF!</v>
      </c>
      <c r="H28" s="10">
        <f>COUNTIF(E28:G28,"C")</f>
        <v>0</v>
      </c>
      <c r="I28" s="10">
        <f>COUNTIF(E28:G28,"NC")</f>
        <v>0</v>
      </c>
      <c r="J28" s="10">
        <f>COUNTIF(E28:G28,"NA")</f>
        <v>0</v>
      </c>
      <c r="K28" s="10">
        <f>COUNTIF(E28:G28,"NT")</f>
        <v>0</v>
      </c>
      <c r="L28" s="1" t="str">
        <f t="shared" si="6"/>
        <v>NA</v>
      </c>
      <c r="M28" s="1">
        <v>6</v>
      </c>
      <c r="N28" s="9" t="e">
        <f>#REF!</f>
        <v>#REF!</v>
      </c>
      <c r="O28" s="9" t="e">
        <f>#REF!</f>
        <v>#REF!</v>
      </c>
      <c r="P28" s="9" t="e">
        <f>#REF!</f>
        <v>#REF!</v>
      </c>
      <c r="Q28" s="9" t="e">
        <f>#REF!</f>
        <v>#REF!</v>
      </c>
      <c r="R28" s="9" t="e">
        <f>#REF!</f>
        <v>#REF!</v>
      </c>
      <c r="S28" s="10">
        <f>COUNTIF(P28:R28,"D")</f>
        <v>0</v>
      </c>
    </row>
    <row r="29" spans="1:19" x14ac:dyDescent="0.35">
      <c r="A29" s="1">
        <v>6</v>
      </c>
      <c r="B29" s="9" t="e">
        <f>#REF!</f>
        <v>#REF!</v>
      </c>
      <c r="C29" s="9" t="e">
        <f>#REF!</f>
        <v>#REF!</v>
      </c>
      <c r="D29" s="9" t="s">
        <v>15</v>
      </c>
      <c r="E29" s="9" t="e">
        <f>#REF!</f>
        <v>#REF!</v>
      </c>
      <c r="F29" s="9" t="e">
        <f>#REF!</f>
        <v>#REF!</v>
      </c>
      <c r="G29" s="9" t="e">
        <f>#REF!</f>
        <v>#REF!</v>
      </c>
      <c r="H29" s="10">
        <f>COUNTIF(E29:G29,"C")</f>
        <v>0</v>
      </c>
      <c r="I29" s="10">
        <f>COUNTIF(E29:G29,"NC")</f>
        <v>0</v>
      </c>
      <c r="J29" s="10">
        <f>COUNTIF(E29:G29,"NA")</f>
        <v>0</v>
      </c>
      <c r="K29" s="10">
        <f>COUNTIF(E29:G29,"NT")</f>
        <v>0</v>
      </c>
      <c r="L29" s="1" t="str">
        <f t="shared" si="6"/>
        <v>NA</v>
      </c>
      <c r="M29" s="1">
        <v>6</v>
      </c>
      <c r="N29" s="9" t="e">
        <f>#REF!</f>
        <v>#REF!</v>
      </c>
      <c r="O29" s="9" t="e">
        <f>#REF!</f>
        <v>#REF!</v>
      </c>
      <c r="P29" s="9" t="e">
        <f>#REF!</f>
        <v>#REF!</v>
      </c>
      <c r="Q29" s="9" t="e">
        <f>#REF!</f>
        <v>#REF!</v>
      </c>
      <c r="R29" s="9" t="e">
        <f>#REF!</f>
        <v>#REF!</v>
      </c>
      <c r="S29" s="10">
        <f>COUNTIF(P29:R29,"D")</f>
        <v>0</v>
      </c>
    </row>
    <row r="30" spans="1:19" x14ac:dyDescent="0.35">
      <c r="A30" s="11"/>
      <c r="B30" s="12"/>
      <c r="C30" s="12"/>
      <c r="D30" s="12"/>
      <c r="E30" s="12"/>
      <c r="F30" s="12"/>
      <c r="G30" s="12"/>
      <c r="H30" s="13">
        <f>SUM(H28:H29)</f>
        <v>0</v>
      </c>
      <c r="I30" s="13">
        <f>SUM(I28:I29)</f>
        <v>0</v>
      </c>
      <c r="J30" s="13">
        <f>SUM(J28:J29)</f>
        <v>0</v>
      </c>
      <c r="K30" s="13">
        <f>SUM(K28:K29)</f>
        <v>0</v>
      </c>
      <c r="L30" s="1"/>
      <c r="M30" s="11"/>
      <c r="N30" s="12"/>
      <c r="O30" s="12"/>
      <c r="P30" s="12"/>
      <c r="Q30" s="12"/>
      <c r="R30" s="12"/>
      <c r="S30" s="13">
        <f>SUM(S28:S29)</f>
        <v>0</v>
      </c>
    </row>
    <row r="31" spans="1:19" x14ac:dyDescent="0.35">
      <c r="A31" s="1">
        <v>7</v>
      </c>
      <c r="B31" s="9" t="e">
        <f>#REF!</f>
        <v>#REF!</v>
      </c>
      <c r="C31" s="9" t="e">
        <f>#REF!</f>
        <v>#REF!</v>
      </c>
      <c r="D31" s="9" t="s">
        <v>15</v>
      </c>
      <c r="E31" s="9" t="e">
        <f>#REF!</f>
        <v>#REF!</v>
      </c>
      <c r="F31" s="9" t="e">
        <f>#REF!</f>
        <v>#REF!</v>
      </c>
      <c r="G31" s="9" t="e">
        <f>#REF!</f>
        <v>#REF!</v>
      </c>
      <c r="H31" s="10">
        <f>COUNTIF(E31:G31,"C")</f>
        <v>0</v>
      </c>
      <c r="I31" s="10">
        <f>COUNTIF(E31:G31,"NC")</f>
        <v>0</v>
      </c>
      <c r="J31" s="10">
        <f>COUNTIF(E31:G31,"NA")</f>
        <v>0</v>
      </c>
      <c r="K31" s="10">
        <f>COUNTIF(E31:G31,"NT")</f>
        <v>0</v>
      </c>
      <c r="L31" s="1" t="str">
        <f t="shared" si="6"/>
        <v>NA</v>
      </c>
      <c r="M31" s="1">
        <v>7</v>
      </c>
      <c r="N31" s="9" t="e">
        <f>#REF!</f>
        <v>#REF!</v>
      </c>
      <c r="O31" s="9" t="e">
        <f>#REF!</f>
        <v>#REF!</v>
      </c>
      <c r="P31" s="9" t="e">
        <f>#REF!</f>
        <v>#REF!</v>
      </c>
      <c r="Q31" s="9" t="e">
        <f>#REF!</f>
        <v>#REF!</v>
      </c>
      <c r="R31" s="9" t="e">
        <f>#REF!</f>
        <v>#REF!</v>
      </c>
      <c r="S31" s="10">
        <f>COUNTIF(P31:R31,"D")</f>
        <v>0</v>
      </c>
    </row>
    <row r="32" spans="1:19" x14ac:dyDescent="0.35">
      <c r="A32" s="11"/>
      <c r="B32" s="12"/>
      <c r="C32" s="12"/>
      <c r="D32" s="12"/>
      <c r="E32" s="12"/>
      <c r="F32" s="12"/>
      <c r="G32" s="12"/>
      <c r="H32" s="14">
        <f>SUM(H31:H31)</f>
        <v>0</v>
      </c>
      <c r="I32" s="14">
        <f>SUM(I31:I31)</f>
        <v>0</v>
      </c>
      <c r="J32" s="14">
        <f>SUM(J31:J31)</f>
        <v>0</v>
      </c>
      <c r="K32" s="14">
        <f>SUM(K31:K31)</f>
        <v>0</v>
      </c>
      <c r="L32" s="1"/>
      <c r="M32" s="11"/>
      <c r="N32" s="12"/>
      <c r="O32" s="12"/>
      <c r="P32" s="12"/>
      <c r="Q32" s="12"/>
      <c r="R32" s="12"/>
      <c r="S32" s="14">
        <f>SUM(S31:S31)</f>
        <v>0</v>
      </c>
    </row>
    <row r="33" spans="1:19" s="2" customFormat="1" x14ac:dyDescent="0.35">
      <c r="A33" s="1">
        <v>8</v>
      </c>
      <c r="B33" s="9">
        <v>8.1</v>
      </c>
      <c r="C33" s="9" t="e">
        <f>#REF!</f>
        <v>#REF!</v>
      </c>
      <c r="D33" s="9" t="s">
        <v>15</v>
      </c>
      <c r="E33" s="9" t="e">
        <f>#REF!</f>
        <v>#REF!</v>
      </c>
      <c r="F33" s="9" t="e">
        <f>#REF!</f>
        <v>#REF!</v>
      </c>
      <c r="G33" s="9" t="e">
        <f>#REF!</f>
        <v>#REF!</v>
      </c>
      <c r="H33" s="10">
        <f t="shared" ref="H33:H40" si="12">COUNTIF(E33:G33,"C")</f>
        <v>0</v>
      </c>
      <c r="I33" s="10">
        <f t="shared" ref="I33:I40" si="13">COUNTIF(E33:G33,"NC")</f>
        <v>0</v>
      </c>
      <c r="J33" s="10">
        <f t="shared" ref="J33:J40" si="14">COUNTIF(E33:G33,"NA")</f>
        <v>0</v>
      </c>
      <c r="K33" s="10">
        <f t="shared" ref="K33:K40" si="15">COUNTIF(E33:G33,"NT")</f>
        <v>0</v>
      </c>
      <c r="L33" s="1" t="str">
        <f t="shared" si="6"/>
        <v>NA</v>
      </c>
      <c r="M33" s="1">
        <v>8</v>
      </c>
      <c r="N33" s="9">
        <v>8.1</v>
      </c>
      <c r="O33" s="9" t="e">
        <f>#REF!</f>
        <v>#REF!</v>
      </c>
      <c r="P33" s="9" t="e">
        <f>#REF!</f>
        <v>#REF!</v>
      </c>
      <c r="Q33" s="9" t="e">
        <f>#REF!</f>
        <v>#REF!</v>
      </c>
      <c r="R33" s="9" t="e">
        <f>#REF!</f>
        <v>#REF!</v>
      </c>
      <c r="S33" s="10">
        <f t="shared" ref="S33:S40" si="16">COUNTIF(P33:R33,"D")</f>
        <v>0</v>
      </c>
    </row>
    <row r="34" spans="1:19" s="2" customFormat="1" x14ac:dyDescent="0.35">
      <c r="A34" s="1">
        <v>8</v>
      </c>
      <c r="B34" s="9">
        <v>8.1999999999999993</v>
      </c>
      <c r="C34" s="9" t="e">
        <f>#REF!</f>
        <v>#REF!</v>
      </c>
      <c r="D34" s="9" t="s">
        <v>15</v>
      </c>
      <c r="E34" s="9" t="e">
        <f>#REF!</f>
        <v>#REF!</v>
      </c>
      <c r="F34" s="9" t="e">
        <f>#REF!</f>
        <v>#REF!</v>
      </c>
      <c r="G34" s="9" t="e">
        <f>#REF!</f>
        <v>#REF!</v>
      </c>
      <c r="H34" s="10">
        <f t="shared" si="12"/>
        <v>0</v>
      </c>
      <c r="I34" s="10">
        <f t="shared" si="13"/>
        <v>0</v>
      </c>
      <c r="J34" s="10">
        <f t="shared" si="14"/>
        <v>0</v>
      </c>
      <c r="K34" s="10">
        <f t="shared" si="15"/>
        <v>0</v>
      </c>
      <c r="L34" s="1" t="str">
        <f t="shared" si="6"/>
        <v>NA</v>
      </c>
      <c r="M34" s="1">
        <v>8</v>
      </c>
      <c r="N34" s="9">
        <v>8.1999999999999993</v>
      </c>
      <c r="O34" s="9" t="e">
        <f>#REF!</f>
        <v>#REF!</v>
      </c>
      <c r="P34" s="9" t="e">
        <f>#REF!</f>
        <v>#REF!</v>
      </c>
      <c r="Q34" s="9" t="e">
        <f>#REF!</f>
        <v>#REF!</v>
      </c>
      <c r="R34" s="9" t="e">
        <f>#REF!</f>
        <v>#REF!</v>
      </c>
      <c r="S34" s="10">
        <f t="shared" si="16"/>
        <v>0</v>
      </c>
    </row>
    <row r="35" spans="1:19" s="2" customFormat="1" x14ac:dyDescent="0.35">
      <c r="A35" s="1">
        <v>8</v>
      </c>
      <c r="B35" s="9">
        <v>8.3000000000000007</v>
      </c>
      <c r="C35" s="9" t="e">
        <f>#REF!</f>
        <v>#REF!</v>
      </c>
      <c r="D35" s="9" t="s">
        <v>15</v>
      </c>
      <c r="E35" s="9" t="e">
        <f>#REF!</f>
        <v>#REF!</v>
      </c>
      <c r="F35" s="9" t="e">
        <f>#REF!</f>
        <v>#REF!</v>
      </c>
      <c r="G35" s="9" t="e">
        <f>#REF!</f>
        <v>#REF!</v>
      </c>
      <c r="H35" s="10">
        <f t="shared" si="12"/>
        <v>0</v>
      </c>
      <c r="I35" s="10">
        <f t="shared" si="13"/>
        <v>0</v>
      </c>
      <c r="J35" s="10">
        <f t="shared" si="14"/>
        <v>0</v>
      </c>
      <c r="K35" s="10">
        <f t="shared" si="15"/>
        <v>0</v>
      </c>
      <c r="L35" s="1" t="str">
        <f t="shared" si="6"/>
        <v>NA</v>
      </c>
      <c r="M35" s="1">
        <v>8</v>
      </c>
      <c r="N35" s="9">
        <v>8.3000000000000007</v>
      </c>
      <c r="O35" s="9" t="e">
        <f>#REF!</f>
        <v>#REF!</v>
      </c>
      <c r="P35" s="9" t="e">
        <f>#REF!</f>
        <v>#REF!</v>
      </c>
      <c r="Q35" s="9" t="e">
        <f>#REF!</f>
        <v>#REF!</v>
      </c>
      <c r="R35" s="9" t="e">
        <f>#REF!</f>
        <v>#REF!</v>
      </c>
      <c r="S35" s="10">
        <f t="shared" si="16"/>
        <v>0</v>
      </c>
    </row>
    <row r="36" spans="1:19" x14ac:dyDescent="0.35">
      <c r="A36" s="1">
        <v>8</v>
      </c>
      <c r="B36" s="9" t="e">
        <f>#REF!</f>
        <v>#REF!</v>
      </c>
      <c r="C36" s="9" t="e">
        <f>#REF!</f>
        <v>#REF!</v>
      </c>
      <c r="D36" s="9" t="s">
        <v>15</v>
      </c>
      <c r="E36" s="9" t="e">
        <f>#REF!</f>
        <v>#REF!</v>
      </c>
      <c r="F36" s="9" t="e">
        <f>#REF!</f>
        <v>#REF!</v>
      </c>
      <c r="G36" s="9" t="e">
        <f>#REF!</f>
        <v>#REF!</v>
      </c>
      <c r="H36" s="10">
        <f t="shared" si="12"/>
        <v>0</v>
      </c>
      <c r="I36" s="10">
        <f t="shared" si="13"/>
        <v>0</v>
      </c>
      <c r="J36" s="10">
        <f t="shared" si="14"/>
        <v>0</v>
      </c>
      <c r="K36" s="10">
        <f t="shared" si="15"/>
        <v>0</v>
      </c>
      <c r="L36" s="1" t="str">
        <f t="shared" si="6"/>
        <v>NA</v>
      </c>
      <c r="M36" s="1">
        <v>8</v>
      </c>
      <c r="N36" s="9" t="e">
        <f>#REF!</f>
        <v>#REF!</v>
      </c>
      <c r="O36" s="9" t="e">
        <f>#REF!</f>
        <v>#REF!</v>
      </c>
      <c r="P36" s="9" t="e">
        <f>#REF!</f>
        <v>#REF!</v>
      </c>
      <c r="Q36" s="9" t="e">
        <f>#REF!</f>
        <v>#REF!</v>
      </c>
      <c r="R36" s="9" t="e">
        <f>#REF!</f>
        <v>#REF!</v>
      </c>
      <c r="S36" s="10">
        <f t="shared" si="16"/>
        <v>0</v>
      </c>
    </row>
    <row r="37" spans="1:19" x14ac:dyDescent="0.35">
      <c r="A37" s="1">
        <v>8</v>
      </c>
      <c r="B37" s="9" t="e">
        <f>#REF!</f>
        <v>#REF!</v>
      </c>
      <c r="C37" s="9" t="e">
        <f>#REF!</f>
        <v>#REF!</v>
      </c>
      <c r="D37" s="9" t="s">
        <v>15</v>
      </c>
      <c r="E37" s="9" t="e">
        <f>#REF!</f>
        <v>#REF!</v>
      </c>
      <c r="F37" s="9" t="e">
        <f>#REF!</f>
        <v>#REF!</v>
      </c>
      <c r="G37" s="9" t="e">
        <f>#REF!</f>
        <v>#REF!</v>
      </c>
      <c r="H37" s="10">
        <f t="shared" si="12"/>
        <v>0</v>
      </c>
      <c r="I37" s="10">
        <f t="shared" si="13"/>
        <v>0</v>
      </c>
      <c r="J37" s="10">
        <f t="shared" si="14"/>
        <v>0</v>
      </c>
      <c r="K37" s="10">
        <f t="shared" si="15"/>
        <v>0</v>
      </c>
      <c r="L37" s="1" t="str">
        <f t="shared" si="6"/>
        <v>NA</v>
      </c>
      <c r="M37" s="1">
        <v>8</v>
      </c>
      <c r="N37" s="9" t="e">
        <f>#REF!</f>
        <v>#REF!</v>
      </c>
      <c r="O37" s="9" t="e">
        <f>#REF!</f>
        <v>#REF!</v>
      </c>
      <c r="P37" s="9" t="e">
        <f>#REF!</f>
        <v>#REF!</v>
      </c>
      <c r="Q37" s="9" t="e">
        <f>#REF!</f>
        <v>#REF!</v>
      </c>
      <c r="R37" s="9" t="e">
        <f>#REF!</f>
        <v>#REF!</v>
      </c>
      <c r="S37" s="10">
        <f t="shared" si="16"/>
        <v>0</v>
      </c>
    </row>
    <row r="38" spans="1:19" x14ac:dyDescent="0.35">
      <c r="A38" s="1">
        <v>8</v>
      </c>
      <c r="B38" s="9" t="e">
        <f>#REF!</f>
        <v>#REF!</v>
      </c>
      <c r="C38" s="9" t="e">
        <f>#REF!</f>
        <v>#REF!</v>
      </c>
      <c r="D38" s="9" t="s">
        <v>15</v>
      </c>
      <c r="E38" s="9" t="e">
        <f>#REF!</f>
        <v>#REF!</v>
      </c>
      <c r="F38" s="9" t="e">
        <f>#REF!</f>
        <v>#REF!</v>
      </c>
      <c r="G38" s="9" t="e">
        <f>#REF!</f>
        <v>#REF!</v>
      </c>
      <c r="H38" s="10">
        <f t="shared" si="12"/>
        <v>0</v>
      </c>
      <c r="I38" s="10">
        <f t="shared" si="13"/>
        <v>0</v>
      </c>
      <c r="J38" s="10">
        <f t="shared" si="14"/>
        <v>0</v>
      </c>
      <c r="K38" s="10">
        <f t="shared" si="15"/>
        <v>0</v>
      </c>
      <c r="L38" s="1" t="str">
        <f t="shared" si="6"/>
        <v>NA</v>
      </c>
      <c r="M38" s="1">
        <v>8</v>
      </c>
      <c r="N38" s="9" t="e">
        <f>#REF!</f>
        <v>#REF!</v>
      </c>
      <c r="O38" s="9" t="e">
        <f>#REF!</f>
        <v>#REF!</v>
      </c>
      <c r="P38" s="9" t="e">
        <f>#REF!</f>
        <v>#REF!</v>
      </c>
      <c r="Q38" s="9" t="e">
        <f>#REF!</f>
        <v>#REF!</v>
      </c>
      <c r="R38" s="9" t="e">
        <f>#REF!</f>
        <v>#REF!</v>
      </c>
      <c r="S38" s="10">
        <f t="shared" si="16"/>
        <v>0</v>
      </c>
    </row>
    <row r="39" spans="1:19" x14ac:dyDescent="0.35">
      <c r="A39" s="1">
        <v>8</v>
      </c>
      <c r="B39" s="9" t="e">
        <f>#REF!</f>
        <v>#REF!</v>
      </c>
      <c r="C39" s="9" t="e">
        <f>#REF!</f>
        <v>#REF!</v>
      </c>
      <c r="D39" s="9" t="s">
        <v>16</v>
      </c>
      <c r="E39" s="9" t="e">
        <f>#REF!</f>
        <v>#REF!</v>
      </c>
      <c r="F39" s="9" t="e">
        <f>#REF!</f>
        <v>#REF!</v>
      </c>
      <c r="G39" s="9" t="e">
        <f>#REF!</f>
        <v>#REF!</v>
      </c>
      <c r="H39" s="10">
        <f t="shared" si="12"/>
        <v>0</v>
      </c>
      <c r="I39" s="10">
        <f t="shared" si="13"/>
        <v>0</v>
      </c>
      <c r="J39" s="10">
        <f t="shared" si="14"/>
        <v>0</v>
      </c>
      <c r="K39" s="10">
        <f t="shared" si="15"/>
        <v>0</v>
      </c>
      <c r="L39" s="1" t="str">
        <f t="shared" si="6"/>
        <v>NA</v>
      </c>
      <c r="M39" s="1">
        <v>8</v>
      </c>
      <c r="N39" s="9" t="e">
        <f>#REF!</f>
        <v>#REF!</v>
      </c>
      <c r="O39" s="9" t="e">
        <f>#REF!</f>
        <v>#REF!</v>
      </c>
      <c r="P39" s="9" t="e">
        <f>#REF!</f>
        <v>#REF!</v>
      </c>
      <c r="Q39" s="9" t="e">
        <f>#REF!</f>
        <v>#REF!</v>
      </c>
      <c r="R39" s="9" t="e">
        <f>#REF!</f>
        <v>#REF!</v>
      </c>
      <c r="S39" s="10">
        <f t="shared" si="16"/>
        <v>0</v>
      </c>
    </row>
    <row r="40" spans="1:19" x14ac:dyDescent="0.35">
      <c r="A40" s="1">
        <v>8</v>
      </c>
      <c r="B40" s="9" t="e">
        <f>#REF!</f>
        <v>#REF!</v>
      </c>
      <c r="C40" s="9" t="e">
        <f>#REF!</f>
        <v>#REF!</v>
      </c>
      <c r="D40" s="9" t="s">
        <v>16</v>
      </c>
      <c r="E40" s="9" t="e">
        <f>#REF!</f>
        <v>#REF!</v>
      </c>
      <c r="F40" s="9" t="e">
        <f>#REF!</f>
        <v>#REF!</v>
      </c>
      <c r="G40" s="9" t="e">
        <f>#REF!</f>
        <v>#REF!</v>
      </c>
      <c r="H40" s="10">
        <f t="shared" si="12"/>
        <v>0</v>
      </c>
      <c r="I40" s="10">
        <f t="shared" si="13"/>
        <v>0</v>
      </c>
      <c r="J40" s="10">
        <f t="shared" si="14"/>
        <v>0</v>
      </c>
      <c r="K40" s="10">
        <f t="shared" si="15"/>
        <v>0</v>
      </c>
      <c r="L40" s="1" t="str">
        <f t="shared" si="6"/>
        <v>NA</v>
      </c>
      <c r="M40" s="1">
        <v>8</v>
      </c>
      <c r="N40" s="9" t="e">
        <f>#REF!</f>
        <v>#REF!</v>
      </c>
      <c r="O40" s="9" t="e">
        <f>#REF!</f>
        <v>#REF!</v>
      </c>
      <c r="P40" s="9" t="e">
        <f>#REF!</f>
        <v>#REF!</v>
      </c>
      <c r="Q40" s="9" t="e">
        <f>#REF!</f>
        <v>#REF!</v>
      </c>
      <c r="R40" s="9" t="e">
        <f>#REF!</f>
        <v>#REF!</v>
      </c>
      <c r="S40" s="10">
        <f t="shared" si="16"/>
        <v>0</v>
      </c>
    </row>
    <row r="41" spans="1:19" x14ac:dyDescent="0.35">
      <c r="A41" s="11"/>
      <c r="B41" s="12"/>
      <c r="C41" s="12"/>
      <c r="D41" s="12"/>
      <c r="E41" s="12"/>
      <c r="F41" s="12"/>
      <c r="G41" s="12"/>
      <c r="H41" s="13">
        <f>SUM(H34:H40)</f>
        <v>0</v>
      </c>
      <c r="I41" s="13">
        <f>SUM(I34:I40)</f>
        <v>0</v>
      </c>
      <c r="J41" s="13">
        <f>SUM(J34:J40)</f>
        <v>0</v>
      </c>
      <c r="K41" s="13">
        <f>SUM(K33:K40)</f>
        <v>0</v>
      </c>
      <c r="L41" s="1"/>
      <c r="M41" s="11"/>
      <c r="N41" s="12"/>
      <c r="O41" s="12"/>
      <c r="P41" s="12"/>
      <c r="Q41" s="12"/>
      <c r="R41" s="12"/>
      <c r="S41" s="13">
        <f>SUM(S33:S40)</f>
        <v>0</v>
      </c>
    </row>
    <row r="42" spans="1:19" x14ac:dyDescent="0.35">
      <c r="A42" s="1">
        <v>9</v>
      </c>
      <c r="B42" s="9" t="e">
        <f>#REF!</f>
        <v>#REF!</v>
      </c>
      <c r="C42" s="9" t="e">
        <f>#REF!</f>
        <v>#REF!</v>
      </c>
      <c r="D42" s="9" t="s">
        <v>15</v>
      </c>
      <c r="E42" s="9" t="e">
        <f>#REF!</f>
        <v>#REF!</v>
      </c>
      <c r="F42" s="9" t="e">
        <f>#REF!</f>
        <v>#REF!</v>
      </c>
      <c r="G42" s="9" t="e">
        <f>#REF!</f>
        <v>#REF!</v>
      </c>
      <c r="H42" s="10">
        <f>COUNTIF(E42:G42,"C")</f>
        <v>0</v>
      </c>
      <c r="I42" s="10">
        <f>COUNTIF(E42:G42,"NC")</f>
        <v>0</v>
      </c>
      <c r="J42" s="10">
        <f>COUNTIF(E42:G42,"NA")</f>
        <v>0</v>
      </c>
      <c r="K42" s="10">
        <f>COUNTIF(E42:G42,"NT")</f>
        <v>0</v>
      </c>
      <c r="L42" s="1" t="str">
        <f t="shared" si="6"/>
        <v>NA</v>
      </c>
      <c r="M42" s="1">
        <v>9</v>
      </c>
      <c r="N42" s="9" t="e">
        <f>#REF!</f>
        <v>#REF!</v>
      </c>
      <c r="O42" s="9" t="e">
        <f>#REF!</f>
        <v>#REF!</v>
      </c>
      <c r="P42" s="9" t="e">
        <f>#REF!</f>
        <v>#REF!</v>
      </c>
      <c r="Q42" s="9" t="e">
        <f>#REF!</f>
        <v>#REF!</v>
      </c>
      <c r="R42" s="9" t="e">
        <f>#REF!</f>
        <v>#REF!</v>
      </c>
      <c r="S42" s="10">
        <f>COUNTIF(P42:R42,"D")</f>
        <v>0</v>
      </c>
    </row>
    <row r="43" spans="1:19" x14ac:dyDescent="0.35">
      <c r="A43" s="1">
        <v>9</v>
      </c>
      <c r="B43" s="9" t="e">
        <f>#REF!</f>
        <v>#REF!</v>
      </c>
      <c r="C43" s="9" t="e">
        <f>#REF!</f>
        <v>#REF!</v>
      </c>
      <c r="D43" s="9" t="s">
        <v>15</v>
      </c>
      <c r="E43" s="9" t="e">
        <f>#REF!</f>
        <v>#REF!</v>
      </c>
      <c r="F43" s="9" t="e">
        <f>#REF!</f>
        <v>#REF!</v>
      </c>
      <c r="G43" s="9" t="e">
        <f>#REF!</f>
        <v>#REF!</v>
      </c>
      <c r="H43" s="10">
        <f>COUNTIF(E43:G43,"C")</f>
        <v>0</v>
      </c>
      <c r="I43" s="10">
        <f>COUNTIF(E43:G43,"NC")</f>
        <v>0</v>
      </c>
      <c r="J43" s="10">
        <f>COUNTIF(E43:G43,"NA")</f>
        <v>0</v>
      </c>
      <c r="K43" s="10">
        <f>COUNTIF(E43:G43,"NT")</f>
        <v>0</v>
      </c>
      <c r="L43" s="1" t="str">
        <f t="shared" si="6"/>
        <v>NA</v>
      </c>
      <c r="M43" s="1">
        <v>9</v>
      </c>
      <c r="N43" s="9" t="e">
        <f>#REF!</f>
        <v>#REF!</v>
      </c>
      <c r="O43" s="9" t="e">
        <f>#REF!</f>
        <v>#REF!</v>
      </c>
      <c r="P43" s="9" t="e">
        <f>#REF!</f>
        <v>#REF!</v>
      </c>
      <c r="Q43" s="9" t="e">
        <f>#REF!</f>
        <v>#REF!</v>
      </c>
      <c r="R43" s="9" t="e">
        <f>#REF!</f>
        <v>#REF!</v>
      </c>
      <c r="S43" s="10">
        <f>COUNTIF(P43:R43,"D")</f>
        <v>0</v>
      </c>
    </row>
    <row r="44" spans="1:19" x14ac:dyDescent="0.35">
      <c r="A44" s="11"/>
      <c r="B44" s="12"/>
      <c r="C44" s="12"/>
      <c r="D44" s="12"/>
      <c r="E44" s="12"/>
      <c r="F44" s="12"/>
      <c r="G44" s="12"/>
      <c r="H44" s="13">
        <f>SUM(H42:H43)</f>
        <v>0</v>
      </c>
      <c r="I44" s="13">
        <f>SUM(I42:I43)</f>
        <v>0</v>
      </c>
      <c r="J44" s="13">
        <f>SUM(J42:J43)</f>
        <v>0</v>
      </c>
      <c r="K44" s="13">
        <f>SUM(K42:K43)</f>
        <v>0</v>
      </c>
      <c r="L44" s="1"/>
      <c r="M44" s="11"/>
      <c r="N44" s="12"/>
      <c r="O44" s="12"/>
      <c r="P44" s="12"/>
      <c r="Q44" s="12"/>
      <c r="R44" s="12"/>
      <c r="S44" s="13">
        <f>SUM(S42:S43)</f>
        <v>0</v>
      </c>
    </row>
    <row r="45" spans="1:19" x14ac:dyDescent="0.35">
      <c r="A45" s="1">
        <v>10</v>
      </c>
      <c r="B45" s="9" t="e">
        <f>#REF!</f>
        <v>#REF!</v>
      </c>
      <c r="C45" s="9" t="e">
        <f>#REF!</f>
        <v>#REF!</v>
      </c>
      <c r="D45" s="9" t="s">
        <v>15</v>
      </c>
      <c r="E45" s="9" t="e">
        <f>#REF!</f>
        <v>#REF!</v>
      </c>
      <c r="F45" s="9" t="e">
        <f>#REF!</f>
        <v>#REF!</v>
      </c>
      <c r="G45" s="9" t="e">
        <f>#REF!</f>
        <v>#REF!</v>
      </c>
      <c r="H45" s="10">
        <f>COUNTIF(E45:G45,"C")</f>
        <v>0</v>
      </c>
      <c r="I45" s="10">
        <f>COUNTIF(E45:G45,"NC")</f>
        <v>0</v>
      </c>
      <c r="J45" s="10">
        <f>COUNTIF(E45:G45,"NA")</f>
        <v>0</v>
      </c>
      <c r="K45" s="10">
        <f>COUNTIF(E45:G45,"NT")</f>
        <v>0</v>
      </c>
      <c r="L45" s="1" t="str">
        <f t="shared" si="6"/>
        <v>NA</v>
      </c>
      <c r="M45" s="1">
        <v>10</v>
      </c>
      <c r="N45" s="9" t="e">
        <f>#REF!</f>
        <v>#REF!</v>
      </c>
      <c r="O45" s="9" t="e">
        <f>#REF!</f>
        <v>#REF!</v>
      </c>
      <c r="P45" s="9" t="e">
        <f>#REF!</f>
        <v>#REF!</v>
      </c>
      <c r="Q45" s="9" t="e">
        <f>#REF!</f>
        <v>#REF!</v>
      </c>
      <c r="R45" s="9" t="e">
        <f>#REF!</f>
        <v>#REF!</v>
      </c>
      <c r="S45" s="10">
        <f>COUNTIF(P45:R45,"D")</f>
        <v>0</v>
      </c>
    </row>
    <row r="46" spans="1:19" x14ac:dyDescent="0.35">
      <c r="A46" s="1">
        <v>10</v>
      </c>
      <c r="B46" s="9" t="e">
        <f>#REF!</f>
        <v>#REF!</v>
      </c>
      <c r="C46" s="9" t="e">
        <f>#REF!</f>
        <v>#REF!</v>
      </c>
      <c r="D46" s="9" t="s">
        <v>15</v>
      </c>
      <c r="E46" s="9" t="e">
        <f>#REF!</f>
        <v>#REF!</v>
      </c>
      <c r="F46" s="9" t="e">
        <f>#REF!</f>
        <v>#REF!</v>
      </c>
      <c r="G46" s="9" t="e">
        <f>#REF!</f>
        <v>#REF!</v>
      </c>
      <c r="H46" s="10">
        <f>COUNTIF(E46:G46,"C")</f>
        <v>0</v>
      </c>
      <c r="I46" s="10">
        <f>COUNTIF(E46:G46,"NC")</f>
        <v>0</v>
      </c>
      <c r="J46" s="10">
        <f>COUNTIF(E46:G46,"NA")</f>
        <v>0</v>
      </c>
      <c r="K46" s="10">
        <f>COUNTIF(E46:G46,"NT")</f>
        <v>0</v>
      </c>
      <c r="L46" s="1" t="str">
        <f t="shared" si="6"/>
        <v>NA</v>
      </c>
      <c r="M46" s="1">
        <v>10</v>
      </c>
      <c r="N46" s="9" t="e">
        <f>#REF!</f>
        <v>#REF!</v>
      </c>
      <c r="O46" s="9" t="e">
        <f>#REF!</f>
        <v>#REF!</v>
      </c>
      <c r="P46" s="9" t="e">
        <f>#REF!</f>
        <v>#REF!</v>
      </c>
      <c r="Q46" s="9" t="e">
        <f>#REF!</f>
        <v>#REF!</v>
      </c>
      <c r="R46" s="9" t="e">
        <f>#REF!</f>
        <v>#REF!</v>
      </c>
      <c r="S46" s="10">
        <f>COUNTIF(P46:R46,"D")</f>
        <v>0</v>
      </c>
    </row>
    <row r="47" spans="1:19" x14ac:dyDescent="0.35">
      <c r="A47" s="1">
        <v>10</v>
      </c>
      <c r="B47" s="9" t="e">
        <f>#REF!</f>
        <v>#REF!</v>
      </c>
      <c r="C47" s="9" t="e">
        <f>#REF!</f>
        <v>#REF!</v>
      </c>
      <c r="D47" s="9" t="s">
        <v>15</v>
      </c>
      <c r="E47" s="9" t="e">
        <f>#REF!</f>
        <v>#REF!</v>
      </c>
      <c r="F47" s="9" t="e">
        <f>#REF!</f>
        <v>#REF!</v>
      </c>
      <c r="G47" s="9" t="e">
        <f>#REF!</f>
        <v>#REF!</v>
      </c>
      <c r="H47" s="10">
        <f>COUNTIF(E47:G47,"C")</f>
        <v>0</v>
      </c>
      <c r="I47" s="10">
        <f>COUNTIF(E47:G47,"NC")</f>
        <v>0</v>
      </c>
      <c r="J47" s="10">
        <f>COUNTIF(E47:G47,"NA")</f>
        <v>0</v>
      </c>
      <c r="K47" s="10">
        <f>COUNTIF(E47:G47,"NT")</f>
        <v>0</v>
      </c>
      <c r="L47" s="1" t="str">
        <f t="shared" si="6"/>
        <v>NA</v>
      </c>
      <c r="M47" s="1">
        <v>10</v>
      </c>
      <c r="N47" s="9" t="e">
        <f>#REF!</f>
        <v>#REF!</v>
      </c>
      <c r="O47" s="9" t="e">
        <f>#REF!</f>
        <v>#REF!</v>
      </c>
      <c r="P47" s="9" t="e">
        <f>#REF!</f>
        <v>#REF!</v>
      </c>
      <c r="Q47" s="9" t="e">
        <f>#REF!</f>
        <v>#REF!</v>
      </c>
      <c r="R47" s="9" t="e">
        <f>#REF!</f>
        <v>#REF!</v>
      </c>
      <c r="S47" s="10">
        <f>COUNTIF(P47:R47,"D")</f>
        <v>0</v>
      </c>
    </row>
    <row r="48" spans="1:19" x14ac:dyDescent="0.35">
      <c r="A48" s="1">
        <v>10</v>
      </c>
      <c r="B48" s="9" t="e">
        <f>#REF!</f>
        <v>#REF!</v>
      </c>
      <c r="C48" s="9" t="e">
        <f>#REF!</f>
        <v>#REF!</v>
      </c>
      <c r="D48" s="9" t="s">
        <v>15</v>
      </c>
      <c r="E48" s="9" t="e">
        <f>#REF!</f>
        <v>#REF!</v>
      </c>
      <c r="F48" s="9" t="e">
        <f>#REF!</f>
        <v>#REF!</v>
      </c>
      <c r="G48" s="9" t="e">
        <f>#REF!</f>
        <v>#REF!</v>
      </c>
      <c r="H48" s="10">
        <f>COUNTIF(E48:G48,"C")</f>
        <v>0</v>
      </c>
      <c r="I48" s="10">
        <f>COUNTIF(E48:G48,"NC")</f>
        <v>0</v>
      </c>
      <c r="J48" s="10">
        <f>COUNTIF(E48:G48,"NA")</f>
        <v>0</v>
      </c>
      <c r="K48" s="10">
        <f>COUNTIF(E48:G48,"NT")</f>
        <v>0</v>
      </c>
      <c r="L48" s="1" t="str">
        <f t="shared" si="6"/>
        <v>NA</v>
      </c>
      <c r="M48" s="1">
        <v>10</v>
      </c>
      <c r="N48" s="9" t="e">
        <f>#REF!</f>
        <v>#REF!</v>
      </c>
      <c r="O48" s="9" t="e">
        <f>#REF!</f>
        <v>#REF!</v>
      </c>
      <c r="P48" s="9" t="e">
        <f>#REF!</f>
        <v>#REF!</v>
      </c>
      <c r="Q48" s="9" t="e">
        <f>#REF!</f>
        <v>#REF!</v>
      </c>
      <c r="R48" s="9" t="e">
        <f>#REF!</f>
        <v>#REF!</v>
      </c>
      <c r="S48" s="10">
        <f>COUNTIF(P48:R48,"D")</f>
        <v>0</v>
      </c>
    </row>
    <row r="49" spans="1:19" x14ac:dyDescent="0.35">
      <c r="A49" s="1">
        <v>10</v>
      </c>
      <c r="B49" s="9" t="e">
        <f>#REF!</f>
        <v>#REF!</v>
      </c>
      <c r="C49" s="9" t="e">
        <f>#REF!</f>
        <v>#REF!</v>
      </c>
      <c r="D49" s="9" t="s">
        <v>15</v>
      </c>
      <c r="E49" s="9" t="e">
        <f>#REF!</f>
        <v>#REF!</v>
      </c>
      <c r="F49" s="9" t="e">
        <f>#REF!</f>
        <v>#REF!</v>
      </c>
      <c r="G49" s="9" t="e">
        <f>#REF!</f>
        <v>#REF!</v>
      </c>
      <c r="H49" s="10">
        <f>COUNTIF(E49:G49,"C")</f>
        <v>0</v>
      </c>
      <c r="I49" s="10">
        <f>COUNTIF(E49:G49,"NC")</f>
        <v>0</v>
      </c>
      <c r="J49" s="10">
        <f>COUNTIF(E49:G49,"NA")</f>
        <v>0</v>
      </c>
      <c r="K49" s="10">
        <f>COUNTIF(E49:G49,"NT")</f>
        <v>0</v>
      </c>
      <c r="L49" s="1" t="str">
        <f t="shared" si="6"/>
        <v>NA</v>
      </c>
      <c r="M49" s="1">
        <v>10</v>
      </c>
      <c r="N49" s="9" t="e">
        <f>#REF!</f>
        <v>#REF!</v>
      </c>
      <c r="O49" s="9" t="e">
        <f>#REF!</f>
        <v>#REF!</v>
      </c>
      <c r="P49" s="9" t="e">
        <f>#REF!</f>
        <v>#REF!</v>
      </c>
      <c r="Q49" s="9" t="e">
        <f>#REF!</f>
        <v>#REF!</v>
      </c>
      <c r="R49" s="9" t="e">
        <f>#REF!</f>
        <v>#REF!</v>
      </c>
      <c r="S49" s="10">
        <f>COUNTIF(P49:R49,"D")</f>
        <v>0</v>
      </c>
    </row>
    <row r="50" spans="1:19" x14ac:dyDescent="0.35">
      <c r="A50" s="11"/>
      <c r="B50" s="12"/>
      <c r="C50" s="12"/>
      <c r="D50" s="12"/>
      <c r="E50" s="12"/>
      <c r="F50" s="12"/>
      <c r="G50" s="12"/>
      <c r="H50" s="13">
        <f>SUM(H45:H49)</f>
        <v>0</v>
      </c>
      <c r="I50" s="13">
        <f>SUM(I45:I49)</f>
        <v>0</v>
      </c>
      <c r="J50" s="13">
        <f>SUM(J45:J49)</f>
        <v>0</v>
      </c>
      <c r="K50" s="13">
        <f>SUM(K45:K49)</f>
        <v>0</v>
      </c>
      <c r="L50" s="1"/>
      <c r="M50" s="11"/>
      <c r="N50" s="12"/>
      <c r="O50" s="12"/>
      <c r="P50" s="12"/>
      <c r="Q50" s="12"/>
      <c r="R50" s="12"/>
      <c r="S50" s="13">
        <f>SUM(S45:S49)</f>
        <v>0</v>
      </c>
    </row>
    <row r="51" spans="1:19" x14ac:dyDescent="0.35">
      <c r="A51" s="1">
        <v>11</v>
      </c>
      <c r="B51" s="9" t="e">
        <f>#REF!</f>
        <v>#REF!</v>
      </c>
      <c r="C51" s="9" t="e">
        <f>#REF!</f>
        <v>#REF!</v>
      </c>
      <c r="D51" s="9" t="s">
        <v>15</v>
      </c>
      <c r="E51" s="9" t="e">
        <f>#REF!</f>
        <v>#REF!</v>
      </c>
      <c r="F51" s="9" t="e">
        <f>#REF!</f>
        <v>#REF!</v>
      </c>
      <c r="G51" s="9" t="e">
        <f>#REF!</f>
        <v>#REF!</v>
      </c>
      <c r="H51" s="10">
        <f t="shared" ref="H51:H57" si="17">COUNTIF(E51:G51,"C")</f>
        <v>0</v>
      </c>
      <c r="I51" s="10">
        <f t="shared" ref="I51:I57" si="18">COUNTIF(E51:G51,"NC")</f>
        <v>0</v>
      </c>
      <c r="J51" s="10">
        <f t="shared" ref="J51:J57" si="19">COUNTIF(E51:G51,"NA")</f>
        <v>0</v>
      </c>
      <c r="K51" s="10">
        <f t="shared" ref="K51:K57" si="20">COUNTIF(E51:G51,"NT")</f>
        <v>0</v>
      </c>
      <c r="L51" s="1" t="str">
        <f t="shared" si="6"/>
        <v>NA</v>
      </c>
      <c r="M51" s="1">
        <v>11</v>
      </c>
      <c r="N51" s="9" t="e">
        <f>#REF!</f>
        <v>#REF!</v>
      </c>
      <c r="O51" s="9" t="e">
        <f>#REF!</f>
        <v>#REF!</v>
      </c>
      <c r="P51" s="9" t="e">
        <f>#REF!</f>
        <v>#REF!</v>
      </c>
      <c r="Q51" s="9" t="e">
        <f>#REF!</f>
        <v>#REF!</v>
      </c>
      <c r="R51" s="9" t="e">
        <f>#REF!</f>
        <v>#REF!</v>
      </c>
      <c r="S51" s="10">
        <f t="shared" ref="S51:S57" si="21">COUNTIF(P51:R51,"D")</f>
        <v>0</v>
      </c>
    </row>
    <row r="52" spans="1:19" x14ac:dyDescent="0.35">
      <c r="A52" s="1">
        <v>11</v>
      </c>
      <c r="B52" s="9" t="e">
        <f>#REF!</f>
        <v>#REF!</v>
      </c>
      <c r="C52" s="9" t="e">
        <f>#REF!</f>
        <v>#REF!</v>
      </c>
      <c r="D52" s="9" t="s">
        <v>15</v>
      </c>
      <c r="E52" s="9" t="e">
        <f>#REF!</f>
        <v>#REF!</v>
      </c>
      <c r="F52" s="9" t="e">
        <f>#REF!</f>
        <v>#REF!</v>
      </c>
      <c r="G52" s="9" t="e">
        <f>#REF!</f>
        <v>#REF!</v>
      </c>
      <c r="H52" s="10">
        <f t="shared" si="17"/>
        <v>0</v>
      </c>
      <c r="I52" s="10">
        <f t="shared" si="18"/>
        <v>0</v>
      </c>
      <c r="J52" s="10">
        <f t="shared" si="19"/>
        <v>0</v>
      </c>
      <c r="K52" s="10">
        <f t="shared" si="20"/>
        <v>0</v>
      </c>
      <c r="L52" s="1" t="str">
        <f t="shared" si="6"/>
        <v>NA</v>
      </c>
      <c r="M52" s="1">
        <v>11</v>
      </c>
      <c r="N52" s="9" t="e">
        <f>#REF!</f>
        <v>#REF!</v>
      </c>
      <c r="O52" s="9" t="e">
        <f>#REF!</f>
        <v>#REF!</v>
      </c>
      <c r="P52" s="9" t="e">
        <f>#REF!</f>
        <v>#REF!</v>
      </c>
      <c r="Q52" s="9" t="e">
        <f>#REF!</f>
        <v>#REF!</v>
      </c>
      <c r="R52" s="9" t="e">
        <f>#REF!</f>
        <v>#REF!</v>
      </c>
      <c r="S52" s="10">
        <f t="shared" si="21"/>
        <v>0</v>
      </c>
    </row>
    <row r="53" spans="1:19" x14ac:dyDescent="0.35">
      <c r="A53" s="1">
        <v>11</v>
      </c>
      <c r="B53" s="9" t="e">
        <f>#REF!</f>
        <v>#REF!</v>
      </c>
      <c r="C53" s="9" t="e">
        <f>#REF!</f>
        <v>#REF!</v>
      </c>
      <c r="D53" s="9" t="s">
        <v>15</v>
      </c>
      <c r="E53" s="9" t="e">
        <f>#REF!</f>
        <v>#REF!</v>
      </c>
      <c r="F53" s="9" t="e">
        <f>#REF!</f>
        <v>#REF!</v>
      </c>
      <c r="G53" s="9" t="e">
        <f>#REF!</f>
        <v>#REF!</v>
      </c>
      <c r="H53" s="10">
        <f t="shared" si="17"/>
        <v>0</v>
      </c>
      <c r="I53" s="10">
        <f t="shared" si="18"/>
        <v>0</v>
      </c>
      <c r="J53" s="10">
        <f t="shared" si="19"/>
        <v>0</v>
      </c>
      <c r="K53" s="10">
        <f t="shared" si="20"/>
        <v>0</v>
      </c>
      <c r="L53" s="1" t="str">
        <f t="shared" si="6"/>
        <v>NA</v>
      </c>
      <c r="M53" s="1">
        <v>11</v>
      </c>
      <c r="N53" s="9" t="e">
        <f>#REF!</f>
        <v>#REF!</v>
      </c>
      <c r="O53" s="9" t="e">
        <f>#REF!</f>
        <v>#REF!</v>
      </c>
      <c r="P53" s="9" t="e">
        <f>#REF!</f>
        <v>#REF!</v>
      </c>
      <c r="Q53" s="9" t="e">
        <f>#REF!</f>
        <v>#REF!</v>
      </c>
      <c r="R53" s="9" t="e">
        <f>#REF!</f>
        <v>#REF!</v>
      </c>
      <c r="S53" s="10">
        <f t="shared" si="21"/>
        <v>0</v>
      </c>
    </row>
    <row r="54" spans="1:19" x14ac:dyDescent="0.35">
      <c r="A54" s="1">
        <v>11</v>
      </c>
      <c r="B54" s="9" t="e">
        <f>#REF!</f>
        <v>#REF!</v>
      </c>
      <c r="C54" s="9" t="e">
        <f>#REF!</f>
        <v>#REF!</v>
      </c>
      <c r="D54" s="9" t="s">
        <v>15</v>
      </c>
      <c r="E54" s="9" t="e">
        <f>#REF!</f>
        <v>#REF!</v>
      </c>
      <c r="F54" s="9" t="e">
        <f>#REF!</f>
        <v>#REF!</v>
      </c>
      <c r="G54" s="9" t="e">
        <f>#REF!</f>
        <v>#REF!</v>
      </c>
      <c r="H54" s="10">
        <f t="shared" si="17"/>
        <v>0</v>
      </c>
      <c r="I54" s="10">
        <f t="shared" si="18"/>
        <v>0</v>
      </c>
      <c r="J54" s="10">
        <f t="shared" si="19"/>
        <v>0</v>
      </c>
      <c r="K54" s="10">
        <f t="shared" si="20"/>
        <v>0</v>
      </c>
      <c r="L54" s="1" t="str">
        <f t="shared" si="6"/>
        <v>NA</v>
      </c>
      <c r="M54" s="1">
        <v>11</v>
      </c>
      <c r="N54" s="9" t="e">
        <f>#REF!</f>
        <v>#REF!</v>
      </c>
      <c r="O54" s="9" t="e">
        <f>#REF!</f>
        <v>#REF!</v>
      </c>
      <c r="P54" s="9" t="e">
        <f>#REF!</f>
        <v>#REF!</v>
      </c>
      <c r="Q54" s="9" t="e">
        <f>#REF!</f>
        <v>#REF!</v>
      </c>
      <c r="R54" s="9" t="e">
        <f>#REF!</f>
        <v>#REF!</v>
      </c>
      <c r="S54" s="10">
        <f t="shared" si="21"/>
        <v>0</v>
      </c>
    </row>
    <row r="55" spans="1:19" x14ac:dyDescent="0.35">
      <c r="A55" s="1">
        <v>11</v>
      </c>
      <c r="B55" s="9" t="e">
        <f>#REF!</f>
        <v>#REF!</v>
      </c>
      <c r="C55" s="9" t="e">
        <f>#REF!</f>
        <v>#REF!</v>
      </c>
      <c r="D55" s="9" t="s">
        <v>15</v>
      </c>
      <c r="E55" s="9" t="e">
        <f>#REF!</f>
        <v>#REF!</v>
      </c>
      <c r="F55" s="9" t="e">
        <f>#REF!</f>
        <v>#REF!</v>
      </c>
      <c r="G55" s="9" t="e">
        <f>#REF!</f>
        <v>#REF!</v>
      </c>
      <c r="H55" s="10">
        <f t="shared" si="17"/>
        <v>0</v>
      </c>
      <c r="I55" s="10">
        <f t="shared" si="18"/>
        <v>0</v>
      </c>
      <c r="J55" s="10">
        <f t="shared" si="19"/>
        <v>0</v>
      </c>
      <c r="K55" s="10">
        <f t="shared" si="20"/>
        <v>0</v>
      </c>
      <c r="L55" s="1" t="str">
        <f t="shared" si="6"/>
        <v>NA</v>
      </c>
      <c r="M55" s="1">
        <v>11</v>
      </c>
      <c r="N55" s="9" t="e">
        <f>#REF!</f>
        <v>#REF!</v>
      </c>
      <c r="O55" s="9" t="e">
        <f>#REF!</f>
        <v>#REF!</v>
      </c>
      <c r="P55" s="9" t="e">
        <f>#REF!</f>
        <v>#REF!</v>
      </c>
      <c r="Q55" s="9" t="e">
        <f>#REF!</f>
        <v>#REF!</v>
      </c>
      <c r="R55" s="9" t="e">
        <f>#REF!</f>
        <v>#REF!</v>
      </c>
      <c r="S55" s="10">
        <f t="shared" si="21"/>
        <v>0</v>
      </c>
    </row>
    <row r="56" spans="1:19" x14ac:dyDescent="0.35">
      <c r="A56" s="1">
        <v>11</v>
      </c>
      <c r="B56" s="9" t="e">
        <f>#REF!</f>
        <v>#REF!</v>
      </c>
      <c r="C56" s="9" t="e">
        <f>#REF!</f>
        <v>#REF!</v>
      </c>
      <c r="D56" s="9" t="s">
        <v>15</v>
      </c>
      <c r="E56" s="9" t="e">
        <f>#REF!</f>
        <v>#REF!</v>
      </c>
      <c r="F56" s="9" t="e">
        <f>#REF!</f>
        <v>#REF!</v>
      </c>
      <c r="G56" s="9" t="e">
        <f>#REF!</f>
        <v>#REF!</v>
      </c>
      <c r="H56" s="10">
        <f t="shared" si="17"/>
        <v>0</v>
      </c>
      <c r="I56" s="10">
        <f t="shared" si="18"/>
        <v>0</v>
      </c>
      <c r="J56" s="10">
        <f t="shared" si="19"/>
        <v>0</v>
      </c>
      <c r="K56" s="10">
        <f t="shared" si="20"/>
        <v>0</v>
      </c>
      <c r="L56" s="1" t="str">
        <f t="shared" si="6"/>
        <v>NA</v>
      </c>
      <c r="M56" s="1">
        <v>11</v>
      </c>
      <c r="N56" s="9" t="e">
        <f>#REF!</f>
        <v>#REF!</v>
      </c>
      <c r="O56" s="9" t="e">
        <f>#REF!</f>
        <v>#REF!</v>
      </c>
      <c r="P56" s="9" t="e">
        <f>#REF!</f>
        <v>#REF!</v>
      </c>
      <c r="Q56" s="9" t="e">
        <f>#REF!</f>
        <v>#REF!</v>
      </c>
      <c r="R56" s="9" t="e">
        <f>#REF!</f>
        <v>#REF!</v>
      </c>
      <c r="S56" s="10">
        <f t="shared" si="21"/>
        <v>0</v>
      </c>
    </row>
    <row r="57" spans="1:19" x14ac:dyDescent="0.35">
      <c r="A57" s="1">
        <v>11</v>
      </c>
      <c r="B57" s="9" t="e">
        <f>#REF!</f>
        <v>#REF!</v>
      </c>
      <c r="C57" s="9" t="e">
        <f>#REF!</f>
        <v>#REF!</v>
      </c>
      <c r="D57" s="9" t="s">
        <v>15</v>
      </c>
      <c r="E57" s="9" t="e">
        <f>#REF!</f>
        <v>#REF!</v>
      </c>
      <c r="F57" s="9" t="e">
        <f>#REF!</f>
        <v>#REF!</v>
      </c>
      <c r="G57" s="9" t="e">
        <f>#REF!</f>
        <v>#REF!</v>
      </c>
      <c r="H57" s="10">
        <f t="shared" si="17"/>
        <v>0</v>
      </c>
      <c r="I57" s="10">
        <f t="shared" si="18"/>
        <v>0</v>
      </c>
      <c r="J57" s="10">
        <f t="shared" si="19"/>
        <v>0</v>
      </c>
      <c r="K57" s="10">
        <f t="shared" si="20"/>
        <v>0</v>
      </c>
      <c r="L57" s="1" t="str">
        <f t="shared" si="6"/>
        <v>NA</v>
      </c>
      <c r="M57" s="1">
        <v>11</v>
      </c>
      <c r="N57" s="9" t="e">
        <f>#REF!</f>
        <v>#REF!</v>
      </c>
      <c r="O57" s="9" t="e">
        <f>#REF!</f>
        <v>#REF!</v>
      </c>
      <c r="P57" s="9" t="e">
        <f>#REF!</f>
        <v>#REF!</v>
      </c>
      <c r="Q57" s="9" t="e">
        <f>#REF!</f>
        <v>#REF!</v>
      </c>
      <c r="R57" s="9" t="e">
        <f>#REF!</f>
        <v>#REF!</v>
      </c>
      <c r="S57" s="10">
        <f t="shared" si="21"/>
        <v>0</v>
      </c>
    </row>
    <row r="58" spans="1:19" x14ac:dyDescent="0.35">
      <c r="A58" s="11"/>
      <c r="B58" s="12"/>
      <c r="C58" s="12"/>
      <c r="D58" s="12"/>
      <c r="E58" s="12"/>
      <c r="F58" s="12"/>
      <c r="G58" s="12"/>
      <c r="H58" s="13">
        <f>SUM(H51:H57)</f>
        <v>0</v>
      </c>
      <c r="I58" s="13">
        <f>SUM(I51:I57)</f>
        <v>0</v>
      </c>
      <c r="J58" s="13">
        <f>SUM(J51:J57)</f>
        <v>0</v>
      </c>
      <c r="K58" s="13">
        <f>SUM(K51:K57)</f>
        <v>0</v>
      </c>
      <c r="L58" s="1"/>
      <c r="M58" s="11"/>
      <c r="N58" s="12"/>
      <c r="O58" s="12"/>
      <c r="P58" s="12"/>
      <c r="Q58" s="12"/>
      <c r="R58" s="12"/>
      <c r="S58" s="13">
        <f>SUM(S51:S57)</f>
        <v>0</v>
      </c>
    </row>
    <row r="59" spans="1:19" x14ac:dyDescent="0.35">
      <c r="A59" s="1">
        <v>12</v>
      </c>
      <c r="B59" s="9" t="e">
        <f>#REF!</f>
        <v>#REF!</v>
      </c>
      <c r="C59" s="9" t="e">
        <f>#REF!</f>
        <v>#REF!</v>
      </c>
      <c r="D59" s="9" t="s">
        <v>15</v>
      </c>
      <c r="E59" s="9" t="e">
        <f>#REF!</f>
        <v>#REF!</v>
      </c>
      <c r="F59" s="9" t="e">
        <f>#REF!</f>
        <v>#REF!</v>
      </c>
      <c r="G59" s="9" t="e">
        <f>#REF!</f>
        <v>#REF!</v>
      </c>
      <c r="H59" s="10">
        <f>COUNTIF(E59:G59,"C")</f>
        <v>0</v>
      </c>
      <c r="I59" s="10">
        <f>COUNTIF(E59:G59,"NC")</f>
        <v>0</v>
      </c>
      <c r="J59" s="10">
        <f>COUNTIF(E59:G59,"NA")</f>
        <v>0</v>
      </c>
      <c r="K59" s="10">
        <f>COUNTIF(E59:G59,"NT")</f>
        <v>0</v>
      </c>
      <c r="L59" s="1" t="str">
        <f t="shared" si="6"/>
        <v>NA</v>
      </c>
      <c r="M59" s="1">
        <v>12</v>
      </c>
      <c r="N59" s="9" t="e">
        <f>#REF!</f>
        <v>#REF!</v>
      </c>
      <c r="O59" s="9" t="e">
        <f>#REF!</f>
        <v>#REF!</v>
      </c>
      <c r="P59" s="9" t="e">
        <f>#REF!</f>
        <v>#REF!</v>
      </c>
      <c r="Q59" s="9" t="e">
        <f>#REF!</f>
        <v>#REF!</v>
      </c>
      <c r="R59" s="9" t="e">
        <f>#REF!</f>
        <v>#REF!</v>
      </c>
      <c r="S59" s="10">
        <f>COUNTIF(P59:R59,"D")</f>
        <v>0</v>
      </c>
    </row>
    <row r="60" spans="1:19" x14ac:dyDescent="0.35">
      <c r="A60" s="1">
        <v>12</v>
      </c>
      <c r="B60" s="9" t="e">
        <f>#REF!</f>
        <v>#REF!</v>
      </c>
      <c r="C60" s="9" t="e">
        <f>#REF!</f>
        <v>#REF!</v>
      </c>
      <c r="D60" s="9" t="s">
        <v>15</v>
      </c>
      <c r="E60" s="9" t="e">
        <f>#REF!</f>
        <v>#REF!</v>
      </c>
      <c r="F60" s="9" t="e">
        <f>#REF!</f>
        <v>#REF!</v>
      </c>
      <c r="G60" s="9" t="e">
        <f>#REF!</f>
        <v>#REF!</v>
      </c>
      <c r="H60" s="10">
        <f>COUNTIF(E60:G60,"C")</f>
        <v>0</v>
      </c>
      <c r="I60" s="10">
        <f>COUNTIF(E60:G60,"NC")</f>
        <v>0</v>
      </c>
      <c r="J60" s="10">
        <f>COUNTIF(E60:G60,"NA")</f>
        <v>0</v>
      </c>
      <c r="K60" s="10">
        <f>COUNTIF(E60:G60,"NT")</f>
        <v>0</v>
      </c>
      <c r="L60" s="1" t="str">
        <f t="shared" si="6"/>
        <v>NA</v>
      </c>
      <c r="M60" s="1">
        <v>12</v>
      </c>
      <c r="N60" s="9" t="e">
        <f>#REF!</f>
        <v>#REF!</v>
      </c>
      <c r="O60" s="9" t="e">
        <f>#REF!</f>
        <v>#REF!</v>
      </c>
      <c r="P60" s="9" t="e">
        <f>#REF!</f>
        <v>#REF!</v>
      </c>
      <c r="Q60" s="9" t="e">
        <f>#REF!</f>
        <v>#REF!</v>
      </c>
      <c r="R60" s="9" t="e">
        <f>#REF!</f>
        <v>#REF!</v>
      </c>
      <c r="S60" s="10">
        <f>COUNTIF(P60:R60,"D")</f>
        <v>0</v>
      </c>
    </row>
    <row r="61" spans="1:19" x14ac:dyDescent="0.35">
      <c r="A61" s="1">
        <v>12</v>
      </c>
      <c r="B61" s="9" t="e">
        <f>#REF!</f>
        <v>#REF!</v>
      </c>
      <c r="C61" s="9" t="e">
        <f>#REF!</f>
        <v>#REF!</v>
      </c>
      <c r="D61" s="9" t="s">
        <v>15</v>
      </c>
      <c r="E61" s="9" t="e">
        <f>#REF!</f>
        <v>#REF!</v>
      </c>
      <c r="F61" s="9" t="e">
        <f>#REF!</f>
        <v>#REF!</v>
      </c>
      <c r="G61" s="9" t="e">
        <f>#REF!</f>
        <v>#REF!</v>
      </c>
      <c r="H61" s="10">
        <f>COUNTIF(E61:G61,"C")</f>
        <v>0</v>
      </c>
      <c r="I61" s="10">
        <f>COUNTIF(E61:G61,"NC")</f>
        <v>0</v>
      </c>
      <c r="J61" s="10">
        <f>COUNTIF(E61:G61,"NA")</f>
        <v>0</v>
      </c>
      <c r="K61" s="10">
        <f>COUNTIF(E61:G61,"NT")</f>
        <v>0</v>
      </c>
      <c r="L61" s="1" t="str">
        <f t="shared" si="6"/>
        <v>NA</v>
      </c>
      <c r="M61" s="1">
        <v>12</v>
      </c>
      <c r="N61" s="9" t="e">
        <f>#REF!</f>
        <v>#REF!</v>
      </c>
      <c r="O61" s="9" t="e">
        <f>#REF!</f>
        <v>#REF!</v>
      </c>
      <c r="P61" s="9" t="e">
        <f>#REF!</f>
        <v>#REF!</v>
      </c>
      <c r="Q61" s="9" t="e">
        <f>#REF!</f>
        <v>#REF!</v>
      </c>
      <c r="R61" s="9" t="e">
        <f>#REF!</f>
        <v>#REF!</v>
      </c>
      <c r="S61" s="10">
        <f>COUNTIF(P61:R61,"D")</f>
        <v>0</v>
      </c>
    </row>
    <row r="62" spans="1:19" x14ac:dyDescent="0.35">
      <c r="A62" s="1">
        <v>12</v>
      </c>
      <c r="B62" s="9" t="e">
        <f>#REF!</f>
        <v>#REF!</v>
      </c>
      <c r="C62" s="9" t="e">
        <f>#REF!</f>
        <v>#REF!</v>
      </c>
      <c r="D62" s="9" t="s">
        <v>15</v>
      </c>
      <c r="E62" s="9" t="e">
        <f>#REF!</f>
        <v>#REF!</v>
      </c>
      <c r="F62" s="9" t="e">
        <f>#REF!</f>
        <v>#REF!</v>
      </c>
      <c r="G62" s="9" t="e">
        <f>#REF!</f>
        <v>#REF!</v>
      </c>
      <c r="H62" s="10">
        <f>COUNTIF(E62:G62,"C")</f>
        <v>0</v>
      </c>
      <c r="I62" s="10">
        <f>COUNTIF(E62:G62,"NC")</f>
        <v>0</v>
      </c>
      <c r="J62" s="10">
        <f>COUNTIF(E62:G62,"NA")</f>
        <v>0</v>
      </c>
      <c r="K62" s="10">
        <f>COUNTIF(E62:G62,"NT")</f>
        <v>0</v>
      </c>
      <c r="L62" s="1" t="str">
        <f t="shared" si="6"/>
        <v>NA</v>
      </c>
      <c r="M62" s="1">
        <v>12</v>
      </c>
      <c r="N62" s="9" t="e">
        <f>#REF!</f>
        <v>#REF!</v>
      </c>
      <c r="O62" s="9" t="e">
        <f>#REF!</f>
        <v>#REF!</v>
      </c>
      <c r="P62" s="9" t="e">
        <f>#REF!</f>
        <v>#REF!</v>
      </c>
      <c r="Q62" s="9" t="e">
        <f>#REF!</f>
        <v>#REF!</v>
      </c>
      <c r="R62" s="9" t="e">
        <f>#REF!</f>
        <v>#REF!</v>
      </c>
      <c r="S62" s="10">
        <f>COUNTIF(P62:R62,"D")</f>
        <v>0</v>
      </c>
    </row>
    <row r="63" spans="1:19" x14ac:dyDescent="0.35">
      <c r="A63" s="1">
        <v>12</v>
      </c>
      <c r="B63" s="9" t="e">
        <f>#REF!</f>
        <v>#REF!</v>
      </c>
      <c r="C63" s="9" t="e">
        <f>#REF!</f>
        <v>#REF!</v>
      </c>
      <c r="D63" s="9" t="s">
        <v>16</v>
      </c>
      <c r="E63" s="9" t="e">
        <f>#REF!</f>
        <v>#REF!</v>
      </c>
      <c r="F63" s="9" t="e">
        <f>#REF!</f>
        <v>#REF!</v>
      </c>
      <c r="G63" s="9" t="e">
        <f>#REF!</f>
        <v>#REF!</v>
      </c>
      <c r="H63" s="10">
        <f>COUNTIF(E63:G63,"C")</f>
        <v>0</v>
      </c>
      <c r="I63" s="10">
        <f>COUNTIF(E63:G63,"NC")</f>
        <v>0</v>
      </c>
      <c r="J63" s="10">
        <f>COUNTIF(E63:G63,"NA")</f>
        <v>0</v>
      </c>
      <c r="K63" s="10">
        <f>COUNTIF(E63:G63,"NT")</f>
        <v>0</v>
      </c>
      <c r="L63" s="1" t="str">
        <f t="shared" si="6"/>
        <v>NA</v>
      </c>
      <c r="M63" s="1">
        <v>12</v>
      </c>
      <c r="N63" s="9" t="e">
        <f>#REF!</f>
        <v>#REF!</v>
      </c>
      <c r="O63" s="9" t="e">
        <f>#REF!</f>
        <v>#REF!</v>
      </c>
      <c r="P63" s="9" t="e">
        <f>#REF!</f>
        <v>#REF!</v>
      </c>
      <c r="Q63" s="9" t="e">
        <f>#REF!</f>
        <v>#REF!</v>
      </c>
      <c r="R63" s="9" t="e">
        <f>#REF!</f>
        <v>#REF!</v>
      </c>
      <c r="S63" s="10">
        <f>COUNTIF(P63:R63,"D")</f>
        <v>0</v>
      </c>
    </row>
    <row r="64" spans="1:19" x14ac:dyDescent="0.35">
      <c r="A64" s="11"/>
      <c r="B64" s="12"/>
      <c r="C64" s="12"/>
      <c r="D64" s="12"/>
      <c r="E64" s="12"/>
      <c r="F64" s="12"/>
      <c r="G64" s="12"/>
      <c r="H64" s="13">
        <f>SUM(H59:H63)</f>
        <v>0</v>
      </c>
      <c r="I64" s="13">
        <f>SUM(I59:I63)</f>
        <v>0</v>
      </c>
      <c r="J64" s="13">
        <f>SUM(J59:J63)</f>
        <v>0</v>
      </c>
      <c r="K64" s="13">
        <f>SUM(K59:K63)</f>
        <v>0</v>
      </c>
      <c r="L64" s="1"/>
      <c r="M64" s="11"/>
      <c r="N64" s="12"/>
      <c r="O64" s="12"/>
      <c r="P64" s="12"/>
      <c r="Q64" s="12"/>
      <c r="R64" s="12"/>
      <c r="S64" s="13">
        <f>SUM(S59:S63)</f>
        <v>0</v>
      </c>
    </row>
    <row r="65" spans="1:19" x14ac:dyDescent="0.35">
      <c r="A65" s="1">
        <v>13</v>
      </c>
      <c r="B65" s="9" t="e">
        <f>#REF!</f>
        <v>#REF!</v>
      </c>
      <c r="C65" s="9" t="e">
        <f>#REF!</f>
        <v>#REF!</v>
      </c>
      <c r="D65" s="9" t="s">
        <v>15</v>
      </c>
      <c r="E65" s="9" t="e">
        <f>#REF!</f>
        <v>#REF!</v>
      </c>
      <c r="F65" s="9" t="e">
        <f>#REF!</f>
        <v>#REF!</v>
      </c>
      <c r="G65" s="9" t="e">
        <f>#REF!</f>
        <v>#REF!</v>
      </c>
      <c r="H65" s="10">
        <f>COUNTIF(E65:G65,"C")</f>
        <v>0</v>
      </c>
      <c r="I65" s="10">
        <f>COUNTIF(E65:G65,"NC")</f>
        <v>0</v>
      </c>
      <c r="J65" s="10">
        <f>COUNTIF(E65:G65,"NA")</f>
        <v>0</v>
      </c>
      <c r="K65" s="10">
        <f>COUNTIF(E65:G65,"NT")</f>
        <v>0</v>
      </c>
      <c r="L65" s="1" t="str">
        <f t="shared" si="6"/>
        <v>NA</v>
      </c>
      <c r="M65" s="1">
        <v>13</v>
      </c>
      <c r="N65" s="9" t="e">
        <f>#REF!</f>
        <v>#REF!</v>
      </c>
      <c r="O65" s="9" t="e">
        <f>#REF!</f>
        <v>#REF!</v>
      </c>
      <c r="P65" s="9" t="e">
        <f>#REF!</f>
        <v>#REF!</v>
      </c>
      <c r="Q65" s="9" t="e">
        <f>#REF!</f>
        <v>#REF!</v>
      </c>
      <c r="R65" s="9" t="e">
        <f>#REF!</f>
        <v>#REF!</v>
      </c>
      <c r="S65" s="10">
        <f>COUNTIF(P65:R65,"D")</f>
        <v>0</v>
      </c>
    </row>
    <row r="66" spans="1:19" x14ac:dyDescent="0.35">
      <c r="A66" s="1">
        <v>13</v>
      </c>
      <c r="B66" s="9" t="e">
        <f>#REF!</f>
        <v>#REF!</v>
      </c>
      <c r="C66" s="9" t="e">
        <f>#REF!</f>
        <v>#REF!</v>
      </c>
      <c r="D66" s="9" t="s">
        <v>15</v>
      </c>
      <c r="E66" s="9" t="e">
        <f>#REF!</f>
        <v>#REF!</v>
      </c>
      <c r="F66" s="9" t="e">
        <f>#REF!</f>
        <v>#REF!</v>
      </c>
      <c r="G66" s="9" t="e">
        <f>#REF!</f>
        <v>#REF!</v>
      </c>
      <c r="H66" s="10">
        <f>COUNTIF(E66:G66,"C")</f>
        <v>0</v>
      </c>
      <c r="I66" s="10">
        <f>COUNTIF(E66:G66,"NC")</f>
        <v>0</v>
      </c>
      <c r="J66" s="10">
        <f>COUNTIF(E66:G66,"NA")</f>
        <v>0</v>
      </c>
      <c r="K66" s="10">
        <f>COUNTIF(E66:G66,"NT")</f>
        <v>0</v>
      </c>
      <c r="L66" s="1" t="str">
        <f t="shared" si="6"/>
        <v>NA</v>
      </c>
      <c r="M66" s="1">
        <v>13</v>
      </c>
      <c r="N66" s="9" t="e">
        <f>#REF!</f>
        <v>#REF!</v>
      </c>
      <c r="O66" s="9" t="e">
        <f>#REF!</f>
        <v>#REF!</v>
      </c>
      <c r="P66" s="9" t="e">
        <f>#REF!</f>
        <v>#REF!</v>
      </c>
      <c r="Q66" s="9" t="e">
        <f>#REF!</f>
        <v>#REF!</v>
      </c>
      <c r="R66" s="9" t="e">
        <f>#REF!</f>
        <v>#REF!</v>
      </c>
      <c r="S66" s="10">
        <f>COUNTIF(P66:R66,"D")</f>
        <v>0</v>
      </c>
    </row>
    <row r="67" spans="1:19" x14ac:dyDescent="0.35">
      <c r="A67" s="1">
        <v>13</v>
      </c>
      <c r="B67" s="9" t="e">
        <f>#REF!</f>
        <v>#REF!</v>
      </c>
      <c r="C67" s="9" t="e">
        <f>#REF!</f>
        <v>#REF!</v>
      </c>
      <c r="D67" s="9" t="s">
        <v>15</v>
      </c>
      <c r="E67" s="9" t="e">
        <f>#REF!</f>
        <v>#REF!</v>
      </c>
      <c r="F67" s="9" t="e">
        <f>#REF!</f>
        <v>#REF!</v>
      </c>
      <c r="G67" s="9" t="e">
        <f>#REF!</f>
        <v>#REF!</v>
      </c>
      <c r="H67" s="10">
        <f>COUNTIF(E67:G67,"C")</f>
        <v>0</v>
      </c>
      <c r="I67" s="10">
        <f>COUNTIF(E67:G67,"NC")</f>
        <v>0</v>
      </c>
      <c r="J67" s="10">
        <f>COUNTIF(E67:G67,"NA")</f>
        <v>0</v>
      </c>
      <c r="K67" s="10">
        <f>COUNTIF(E67:G67,"NT")</f>
        <v>0</v>
      </c>
      <c r="L67" s="1" t="str">
        <f t="shared" si="6"/>
        <v>NA</v>
      </c>
      <c r="M67" s="1">
        <v>13</v>
      </c>
      <c r="N67" s="9" t="e">
        <f>#REF!</f>
        <v>#REF!</v>
      </c>
      <c r="O67" s="9" t="e">
        <f>#REF!</f>
        <v>#REF!</v>
      </c>
      <c r="P67" s="9" t="e">
        <f>#REF!</f>
        <v>#REF!</v>
      </c>
      <c r="Q67" s="9" t="e">
        <f>#REF!</f>
        <v>#REF!</v>
      </c>
      <c r="R67" s="9" t="e">
        <f>#REF!</f>
        <v>#REF!</v>
      </c>
      <c r="S67" s="10">
        <f>COUNTIF(P67:R67,"D")</f>
        <v>0</v>
      </c>
    </row>
    <row r="68" spans="1:19" x14ac:dyDescent="0.35">
      <c r="A68" s="11"/>
      <c r="B68" s="12"/>
      <c r="C68" s="12"/>
      <c r="D68" s="12"/>
      <c r="E68" s="12"/>
      <c r="F68" s="12"/>
      <c r="G68" s="12"/>
      <c r="H68" s="13">
        <f>SUM(H65:H67)</f>
        <v>0</v>
      </c>
      <c r="I68" s="13">
        <f>SUM(I65:I67)</f>
        <v>0</v>
      </c>
      <c r="J68" s="13">
        <f>SUM(J65:J67)</f>
        <v>0</v>
      </c>
      <c r="K68" s="13">
        <f>SUM(K65:K67)</f>
        <v>0</v>
      </c>
      <c r="L68" s="1"/>
      <c r="M68" s="11"/>
      <c r="N68" s="12"/>
      <c r="O68" s="12"/>
      <c r="P68" s="12"/>
      <c r="Q68" s="12"/>
      <c r="R68" s="12"/>
      <c r="S68" s="13">
        <f>SUM(S65:S67)</f>
        <v>0</v>
      </c>
    </row>
    <row r="69" spans="1:19" x14ac:dyDescent="0.35">
      <c r="A69" s="1"/>
      <c r="B69" s="9"/>
      <c r="C69" s="9" t="s">
        <v>17</v>
      </c>
      <c r="D69" s="9"/>
      <c r="E69" s="9">
        <f>SUM(COUNTIF(E3:E9,"C"),COUNTIF(E11:E11,"C"),COUNTIF(E13:E14,"C"),COUNTIF(E16:E23,"C"),COUNTIF(E25:E26,"C"),COUNTIF(E28:E29,"C"),COUNTIF(E31:E31,"C"),COUNTIF(E33:E40,"C"),COUNTIF(E42:E43,"C"),COUNTIF(E45:E49,"C"),COUNTIF(E51:E57,"C"),COUNTIF(E59:E63,"C"),COUNTIF(E65:E67,"C"))</f>
        <v>0</v>
      </c>
      <c r="F69" s="9">
        <f>SUM(COUNTIF(F3:F9,"C"),COUNTIF(F11:F11,"C"),COUNTIF(F13:F14,"C"),COUNTIF(F16:F23,"C"),COUNTIF(F25:F26,"C"),COUNTIF(F28:F29,"C"),COUNTIF(F31:F31,"C"),COUNTIF(F33:F40,"C"),COUNTIF(F42:F43,"C"),COUNTIF(F45:F49,"C"),COUNTIF(F51:F57,"C"),COUNTIF(F59:F63,"C"),COUNTIF(F65:F67,"C"))</f>
        <v>0</v>
      </c>
      <c r="G69" s="9">
        <f>SUM(COUNTIF(G3:G9,"C"),COUNTIF(G11:G11,"C"),COUNTIF(G13:G14,"C"),COUNTIF(G16:G23,"C"),COUNTIF(G25:G26,"C"),COUNTIF(G28:G29,"C"),COUNTIF(G31:G31,"C"),COUNTIF(G33:G40,"C"),COUNTIF(G42:G43,"C"),COUNTIF(G45:G49,"C"),COUNTIF(G51:G57,"C"),COUNTIF(G59:G63,"C"),COUNTIF(G65:G67,"C"))</f>
        <v>0</v>
      </c>
      <c r="H69" s="15"/>
      <c r="I69" s="15"/>
      <c r="J69" s="15"/>
      <c r="K69" s="15"/>
      <c r="L69" s="1"/>
      <c r="M69" s="1"/>
      <c r="N69" s="9"/>
      <c r="O69" s="9"/>
      <c r="P69" s="9"/>
      <c r="Q69" s="9"/>
      <c r="R69" s="9"/>
      <c r="S69" s="15"/>
    </row>
    <row r="70" spans="1:19" x14ac:dyDescent="0.35">
      <c r="A70" s="1"/>
      <c r="B70" s="9"/>
      <c r="C70" s="9" t="s">
        <v>18</v>
      </c>
      <c r="D70" s="9"/>
      <c r="E70" s="9">
        <f>SUM(COUNTIF(E3:E9,"NC"),COUNTIF(E11:E11,"NC"),COUNTIF(E13:E14,"NC"),COUNTIF(E16:E23,"NC"),COUNTIF(E25:E26,"NC"),COUNTIF(E28:E29,"NC"),COUNTIF(E31:E31,"NC"),COUNTIF(E33:E40,"NC"),COUNTIF(E42:E43,"NC"),COUNTIF(E45:E49,"NC"),COUNTIF(E51:E57,"NC"),COUNTIF(E59:E63,"NC"),COUNTIF(E65:E67,"NC"))</f>
        <v>0</v>
      </c>
      <c r="F70" s="9">
        <f>SUM(COUNTIF(F3:F9,"NC"),COUNTIF(F11:F11,"NC"),COUNTIF(F13:F14,"NC"),COUNTIF(F16:F23,"NC"),COUNTIF(F25:F26,"NC"),COUNTIF(F28:F29,"NC"),COUNTIF(F31:F31,"NC"),COUNTIF(F33:F40,"NC"),COUNTIF(F42:F43,"NC"),COUNTIF(F45:F49,"NC"),COUNTIF(F51:F57,"NC"),COUNTIF(F59:F63,"NC"),COUNTIF(F65:F67,"NC"))</f>
        <v>0</v>
      </c>
      <c r="G70" s="9">
        <f>SUM(COUNTIF(G3:G9,"NC"),COUNTIF(G11:G11,"NC"),COUNTIF(G13:G14,"NC"),COUNTIF(G16:G23,"NC"),COUNTIF(G25:G26,"NC"),COUNTIF(G28:G29,"NC"),COUNTIF(G31:G31,"NC"),COUNTIF(G33:G40,"NC"),COUNTIF(G42:G43,"NC"),COUNTIF(G45:G49,"NC"),COUNTIF(G51:G57,"NC"),COUNTIF(G59:G63,"NC"),COUNTIF(G65:G67,"NC"))</f>
        <v>0</v>
      </c>
      <c r="H70" s="15"/>
      <c r="I70" s="15"/>
      <c r="J70" s="15"/>
      <c r="K70" s="15"/>
      <c r="L70" s="1"/>
      <c r="M70" s="1"/>
      <c r="N70" s="9"/>
      <c r="O70" s="9"/>
      <c r="P70" s="9"/>
      <c r="Q70" s="9"/>
      <c r="R70" s="9"/>
      <c r="S70" s="15"/>
    </row>
    <row r="71" spans="1:19" x14ac:dyDescent="0.35">
      <c r="A71" s="1"/>
      <c r="B71" s="9"/>
      <c r="C71" s="9" t="s">
        <v>19</v>
      </c>
      <c r="D71" s="9"/>
      <c r="E71" s="9">
        <f>SUM(COUNTIF(E3:E9,"NA"),COUNTIF(E11:E11,"NA"),COUNTIF(E13:E14,"NA"),COUNTIF(E16:E23,"NA"),COUNTIF(E25:E26,"NA"),COUNTIF(E28:E29,"NA"),COUNTIF(E31:E31,"NA"),COUNTIF(E33:E40,"NA"),COUNTIF(E42:E43,"NA"),COUNTIF(E45:E49,"NA"),COUNTIF(E51:E57,"NA"),COUNTIF(E59:E63,"NA"),COUNTIF(E65:E67,"NA"))</f>
        <v>0</v>
      </c>
      <c r="F71" s="9">
        <f>SUM(COUNTIF(F3:F9,"NA"),COUNTIF(F11:F11,"NA"),COUNTIF(F13:F14,"NA"),COUNTIF(F16:F23,"NA"),COUNTIF(F25:F26,"NA"),COUNTIF(F28:F29,"NA"),COUNTIF(F31:F31,"NA"),COUNTIF(F33:F40,"NA"),COUNTIF(F42:F43,"NA"),COUNTIF(F45:F49,"NA"),COUNTIF(F51:F57,"NA"),COUNTIF(F59:F63,"NA"),COUNTIF(F65:F67,"NA"))</f>
        <v>0</v>
      </c>
      <c r="G71" s="9">
        <f>SUM(COUNTIF(G3:G9,"NA"),COUNTIF(G11:G11,"NA"),COUNTIF(G13:G14,"NA"),COUNTIF(G16:G23,"NA"),COUNTIF(G25:G26,"NA"),COUNTIF(G28:G29,"NA"),COUNTIF(G31:G31,"NA"),COUNTIF(G33:G40,"NA"),COUNTIF(G42:G43,"NA"),COUNTIF(G45:G49,"NA"),COUNTIF(G51:G57,"NA"),COUNTIF(G59:G63,"NA"),COUNTIF(G65:G67,"NA"))</f>
        <v>0</v>
      </c>
      <c r="H71" s="15"/>
      <c r="I71" s="15"/>
      <c r="J71" s="15"/>
      <c r="K71" s="15"/>
      <c r="L71" s="1"/>
      <c r="M71" s="1"/>
      <c r="N71" s="9"/>
      <c r="O71" s="9"/>
      <c r="P71" s="9"/>
      <c r="Q71" s="9"/>
      <c r="R71" s="9"/>
      <c r="S71" s="15"/>
    </row>
    <row r="72" spans="1:19" x14ac:dyDescent="0.35">
      <c r="A72" s="1"/>
      <c r="B72" s="9"/>
      <c r="C72" s="9" t="s">
        <v>20</v>
      </c>
      <c r="D72" s="9"/>
      <c r="E72" s="16" t="str">
        <f>IF(AND(E69=0,E70=0),"NA",E69/(E69+E70))</f>
        <v>NA</v>
      </c>
      <c r="F72" s="16" t="str">
        <f>IF(AND(F69=0,F70=0),"NA",F69/(F69+F70))</f>
        <v>NA</v>
      </c>
      <c r="G72" s="16" t="str">
        <f>IF(AND(G69=0,G70=0),"NA",G69/(G69+G70))</f>
        <v>NA</v>
      </c>
      <c r="H72" s="15" t="e">
        <f>IF(AND(#REF!&lt;&gt;0,#REF!&lt;&gt;0),"ok","ko")</f>
        <v>#REF!</v>
      </c>
      <c r="I72" s="15"/>
      <c r="J72" s="15"/>
      <c r="K72" s="15"/>
      <c r="L72" s="1"/>
      <c r="M72" s="1"/>
      <c r="N72" s="9"/>
      <c r="O72" s="9"/>
      <c r="P72" s="9"/>
      <c r="Q72" s="9"/>
      <c r="R72" s="9"/>
      <c r="S72" s="15"/>
    </row>
    <row r="74" spans="1:19" x14ac:dyDescent="0.35">
      <c r="E74" s="3" t="e">
        <f>E72*100</f>
        <v>#VALUE!</v>
      </c>
      <c r="F74" s="3" t="e">
        <f>F72*100</f>
        <v>#VALUE!</v>
      </c>
      <c r="G74" s="3" t="e">
        <f>G72*100</f>
        <v>#VALUE!</v>
      </c>
    </row>
    <row r="75" spans="1:19" x14ac:dyDescent="0.35">
      <c r="E75" s="3" t="e">
        <f>IF(AND(E74&gt;=Échelle!$A$2, E74&lt;Échelle!$B$2), Échelle!$C$2, IF(AND(E74&gt;=Échelle!$A$3, E74&lt;Échelle!$B$3), Échelle!$C$3, IF(AND(E74&gt;=Échelle!$A$4, E74&lt;Échelle!$B$4), Échelle!$C$4, IF(AND(E74&gt;=Échelle!$A$5, E74&lt;Échelle!$B$5), Échelle!$C$5, IF(AND(E74&gt;=Échelle!$A$6, E74&lt;=Échelle!$B$6), Échelle!$C$6, "" ) ) ) ) )</f>
        <v>#VALUE!</v>
      </c>
      <c r="F75" s="3" t="e">
        <f>IF(AND(F74&gt;=Échelle!$A$2, F74&lt;Échelle!$B$2), Échelle!$C$2, IF(AND(F74&gt;=Échelle!$A$3, F74&lt;Échelle!$B$3), Échelle!$C$3, IF(AND(F74&gt;=Échelle!$A$4, F74&lt;Échelle!$B$4), Échelle!$C$4, IF(AND(F74&gt;=Échelle!$A$5, F74&lt;Échelle!$B$5), Échelle!$C$5, IF(AND(F74&gt;=Échelle!$A$6, F74&lt;=Échelle!$B$6), Échelle!$C$6, "" ) ) ) ) )</f>
        <v>#VALUE!</v>
      </c>
      <c r="G75" s="3" t="e">
        <f>IF(AND(G74&gt;=Échelle!$A$2, G74&lt;Échelle!$B$2), Échelle!$C$2, IF(AND(G74&gt;=Échelle!$A$3, G74&lt;Échelle!$B$3), Échelle!$C$3, IF(AND(G74&gt;=Échelle!$A$4, G74&lt;Échelle!$B$4), Échelle!$C$4, IF(AND(G74&gt;=Échelle!$A$5, G74&lt;Échelle!$B$5), Échelle!$C$5, IF(AND(G74&gt;=Échelle!$A$6, G74&lt;=Échelle!$B$6), Échelle!$C$6, "" ) ) ) ) )</f>
        <v>#VALUE!</v>
      </c>
    </row>
  </sheetData>
  <pageMargins left="0.39375000000000004" right="0.39375000000000004" top="0.53263888888888899" bottom="0.39375000000000004" header="0.39375000000000004" footer="0.39375000000000004"/>
  <pageSetup paperSize="9" scale="74" pageOrder="overThenDown" orientation="portrait" horizontalDpi="300" verticalDpi="300"/>
  <headerFooter>
    <oddHeader>&amp;L&amp;10Contrôle simplifié&amp;R&amp;10&amp;P/&amp;N - &amp;A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119"/>
  <sheetViews>
    <sheetView workbookViewId="0">
      <selection activeCell="B15" sqref="B15"/>
    </sheetView>
  </sheetViews>
  <sheetFormatPr defaultColWidth="7.3046875" defaultRowHeight="15.5" x14ac:dyDescent="0.35"/>
  <cols>
    <col min="1" max="1" width="10.53515625" style="1" customWidth="1"/>
    <col min="2" max="2" width="84.69140625" style="1" bestFit="1" customWidth="1"/>
    <col min="3" max="12" width="5" style="9" customWidth="1"/>
    <col min="13" max="13" width="5" style="1" customWidth="1"/>
    <col min="14" max="14" width="4.07421875" style="1" customWidth="1"/>
    <col min="15" max="15" width="4.84375" style="1" customWidth="1"/>
    <col min="16" max="16" width="1.84375" style="1" customWidth="1"/>
    <col min="17" max="17" width="4.84375" style="1" customWidth="1"/>
    <col min="18" max="18" width="5.84375" style="1" customWidth="1"/>
    <col min="19" max="16384" width="7.3046875" style="1"/>
  </cols>
  <sheetData>
    <row r="1" spans="1:18" x14ac:dyDescent="0.35">
      <c r="A1" s="82" t="e">
        <f>#REF!</f>
        <v>#REF!</v>
      </c>
      <c r="B1" s="82"/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  <c r="O1" s="82"/>
    </row>
    <row r="2" spans="1:18" ht="15" customHeight="1" x14ac:dyDescent="0.35">
      <c r="A2" s="82" t="s">
        <v>88</v>
      </c>
      <c r="B2" s="82"/>
      <c r="C2" s="82"/>
      <c r="D2" s="82"/>
      <c r="E2" s="82"/>
      <c r="F2" s="82"/>
      <c r="G2" s="82"/>
      <c r="H2" s="82"/>
      <c r="I2" s="82"/>
      <c r="J2" s="82"/>
      <c r="K2" s="82"/>
      <c r="L2" s="82"/>
      <c r="M2" s="82"/>
      <c r="N2" s="82"/>
      <c r="O2" s="82"/>
    </row>
    <row r="3" spans="1:18" ht="15" customHeight="1" x14ac:dyDescent="0.35">
      <c r="B3" s="83" t="s">
        <v>89</v>
      </c>
      <c r="C3" s="84" t="s">
        <v>21</v>
      </c>
      <c r="D3" s="84" t="s">
        <v>22</v>
      </c>
      <c r="E3" s="84" t="s">
        <v>23</v>
      </c>
      <c r="F3" s="84" t="s">
        <v>24</v>
      </c>
      <c r="G3" s="84" t="s">
        <v>25</v>
      </c>
      <c r="H3" s="84" t="s">
        <v>26</v>
      </c>
      <c r="I3" s="84" t="s">
        <v>27</v>
      </c>
      <c r="J3" s="84" t="s">
        <v>28</v>
      </c>
      <c r="K3" s="84" t="s">
        <v>29</v>
      </c>
      <c r="L3" s="84" t="s">
        <v>30</v>
      </c>
      <c r="M3" s="84" t="s">
        <v>31</v>
      </c>
      <c r="N3" s="84" t="s">
        <v>32</v>
      </c>
      <c r="O3" s="84" t="s">
        <v>33</v>
      </c>
      <c r="P3" s="17"/>
      <c r="Q3" s="17"/>
      <c r="R3" s="17"/>
    </row>
    <row r="4" spans="1:18" x14ac:dyDescent="0.35">
      <c r="A4" s="18"/>
      <c r="B4" s="83"/>
      <c r="C4" s="84"/>
      <c r="D4" s="84"/>
      <c r="E4" s="84"/>
      <c r="F4" s="84"/>
      <c r="G4" s="84"/>
      <c r="H4" s="84"/>
      <c r="I4" s="84"/>
      <c r="J4" s="84"/>
      <c r="K4" s="84"/>
      <c r="L4" s="84"/>
      <c r="M4" s="84"/>
      <c r="N4" s="84"/>
      <c r="O4" s="84"/>
      <c r="P4" s="17"/>
      <c r="Q4" s="17"/>
      <c r="R4" s="17"/>
    </row>
    <row r="5" spans="1:18" ht="59.9" customHeight="1" x14ac:dyDescent="0.35">
      <c r="A5" s="18"/>
      <c r="B5" s="83"/>
      <c r="C5" s="84"/>
      <c r="D5" s="84"/>
      <c r="E5" s="84"/>
      <c r="F5" s="84"/>
      <c r="G5" s="84"/>
      <c r="H5" s="84"/>
      <c r="I5" s="84"/>
      <c r="J5" s="84"/>
      <c r="K5" s="84"/>
      <c r="L5" s="84"/>
      <c r="M5" s="84"/>
      <c r="N5" s="84"/>
      <c r="O5" s="84"/>
      <c r="P5" s="17"/>
      <c r="Q5" s="17"/>
      <c r="R5" s="17"/>
    </row>
    <row r="6" spans="1:18" ht="18" customHeight="1" x14ac:dyDescent="0.35">
      <c r="B6" s="19" t="s">
        <v>10</v>
      </c>
      <c r="C6" s="19">
        <f>BaseDeCalcul!$H10</f>
        <v>0</v>
      </c>
      <c r="D6" s="19">
        <f>BaseDeCalcul!H12</f>
        <v>0</v>
      </c>
      <c r="E6" s="19">
        <f>BaseDeCalcul!H15</f>
        <v>0</v>
      </c>
      <c r="F6" s="19">
        <f>BaseDeCalcul!H24</f>
        <v>0</v>
      </c>
      <c r="G6" s="19">
        <f>BaseDeCalcul!H27</f>
        <v>0</v>
      </c>
      <c r="H6" s="19">
        <f>BaseDeCalcul!H30</f>
        <v>0</v>
      </c>
      <c r="I6" s="19">
        <f>BaseDeCalcul!H32</f>
        <v>0</v>
      </c>
      <c r="J6" s="19">
        <f>BaseDeCalcul!H41</f>
        <v>0</v>
      </c>
      <c r="K6" s="19">
        <f>BaseDeCalcul!H44</f>
        <v>0</v>
      </c>
      <c r="L6" s="19">
        <f>BaseDeCalcul!H50</f>
        <v>0</v>
      </c>
      <c r="M6" s="19">
        <f>BaseDeCalcul!H58</f>
        <v>0</v>
      </c>
      <c r="N6" s="19">
        <f>BaseDeCalcul!H64</f>
        <v>0</v>
      </c>
      <c r="O6" s="20">
        <f>BaseDeCalcul!H68</f>
        <v>0</v>
      </c>
      <c r="P6" s="17"/>
      <c r="Q6" s="21">
        <f>SUM(C6:O6)</f>
        <v>0</v>
      </c>
      <c r="R6" s="21" t="s">
        <v>10</v>
      </c>
    </row>
    <row r="7" spans="1:18" ht="18" customHeight="1" x14ac:dyDescent="0.35">
      <c r="A7" s="22"/>
      <c r="B7" s="23" t="s">
        <v>11</v>
      </c>
      <c r="C7" s="23">
        <f>BaseDeCalcul!I10</f>
        <v>0</v>
      </c>
      <c r="D7" s="23">
        <f>BaseDeCalcul!I12</f>
        <v>0</v>
      </c>
      <c r="E7" s="23">
        <f>BaseDeCalcul!I15</f>
        <v>0</v>
      </c>
      <c r="F7" s="23">
        <f>BaseDeCalcul!I24</f>
        <v>0</v>
      </c>
      <c r="G7" s="23">
        <f>BaseDeCalcul!I27</f>
        <v>0</v>
      </c>
      <c r="H7" s="23">
        <f>BaseDeCalcul!I30</f>
        <v>0</v>
      </c>
      <c r="I7" s="23">
        <f>BaseDeCalcul!I32</f>
        <v>0</v>
      </c>
      <c r="J7" s="23">
        <f>BaseDeCalcul!I41</f>
        <v>0</v>
      </c>
      <c r="K7" s="23">
        <f>BaseDeCalcul!I44</f>
        <v>0</v>
      </c>
      <c r="L7" s="23">
        <f>BaseDeCalcul!I50</f>
        <v>0</v>
      </c>
      <c r="M7" s="23">
        <f>BaseDeCalcul!I58</f>
        <v>0</v>
      </c>
      <c r="N7" s="23">
        <f>BaseDeCalcul!I64</f>
        <v>0</v>
      </c>
      <c r="O7" s="24">
        <f>BaseDeCalcul!I68</f>
        <v>0</v>
      </c>
      <c r="P7" s="17"/>
      <c r="Q7" s="25">
        <f>SUM(C7:O7)</f>
        <v>0</v>
      </c>
      <c r="R7" s="25" t="s">
        <v>11</v>
      </c>
    </row>
    <row r="8" spans="1:18" ht="18" customHeight="1" x14ac:dyDescent="0.35">
      <c r="A8" s="22"/>
      <c r="B8" s="26" t="s">
        <v>12</v>
      </c>
      <c r="C8" s="26">
        <f>BaseDeCalcul!J10</f>
        <v>0</v>
      </c>
      <c r="D8" s="26">
        <f>BaseDeCalcul!J12</f>
        <v>0</v>
      </c>
      <c r="E8" s="26">
        <f>BaseDeCalcul!J15</f>
        <v>0</v>
      </c>
      <c r="F8" s="26">
        <f>BaseDeCalcul!J24</f>
        <v>0</v>
      </c>
      <c r="G8" s="26">
        <f>BaseDeCalcul!J27</f>
        <v>0</v>
      </c>
      <c r="H8" s="26">
        <f>BaseDeCalcul!J30</f>
        <v>0</v>
      </c>
      <c r="I8" s="26">
        <f>BaseDeCalcul!J32</f>
        <v>0</v>
      </c>
      <c r="J8" s="26">
        <f>BaseDeCalcul!J41</f>
        <v>0</v>
      </c>
      <c r="K8" s="26">
        <f>BaseDeCalcul!J44</f>
        <v>0</v>
      </c>
      <c r="L8" s="26">
        <f>BaseDeCalcul!J50</f>
        <v>0</v>
      </c>
      <c r="M8" s="26">
        <f>BaseDeCalcul!J58</f>
        <v>0</v>
      </c>
      <c r="N8" s="26">
        <f>BaseDeCalcul!J64</f>
        <v>0</v>
      </c>
      <c r="O8" s="27">
        <f>BaseDeCalcul!J68</f>
        <v>0</v>
      </c>
      <c r="P8" s="17"/>
      <c r="Q8" s="28">
        <f>SUM(C8:O8)</f>
        <v>0</v>
      </c>
      <c r="R8" s="28" t="s">
        <v>12</v>
      </c>
    </row>
    <row r="9" spans="1:18" ht="18" customHeight="1" x14ac:dyDescent="0.35">
      <c r="A9" s="22"/>
      <c r="B9" s="29" t="s">
        <v>90</v>
      </c>
      <c r="C9" s="29">
        <f>BaseDeCalcul!S10</f>
        <v>0</v>
      </c>
      <c r="D9" s="29">
        <f>BaseDeCalcul!S12</f>
        <v>0</v>
      </c>
      <c r="E9" s="29">
        <f>BaseDeCalcul!S15</f>
        <v>0</v>
      </c>
      <c r="F9" s="29">
        <f>BaseDeCalcul!S24</f>
        <v>0</v>
      </c>
      <c r="G9" s="29">
        <f>BaseDeCalcul!S27</f>
        <v>0</v>
      </c>
      <c r="H9" s="29">
        <f>BaseDeCalcul!S30</f>
        <v>0</v>
      </c>
      <c r="I9" s="29">
        <f>BaseDeCalcul!S32</f>
        <v>0</v>
      </c>
      <c r="J9" s="29">
        <f>BaseDeCalcul!S41</f>
        <v>0</v>
      </c>
      <c r="K9" s="29">
        <f>BaseDeCalcul!S44</f>
        <v>0</v>
      </c>
      <c r="L9" s="29">
        <f>BaseDeCalcul!S50</f>
        <v>0</v>
      </c>
      <c r="M9" s="29">
        <f>BaseDeCalcul!S58</f>
        <v>0</v>
      </c>
      <c r="N9" s="29">
        <f>BaseDeCalcul!S64</f>
        <v>0</v>
      </c>
      <c r="O9" s="30">
        <f>BaseDeCalcul!S68</f>
        <v>0</v>
      </c>
      <c r="P9" s="17"/>
      <c r="Q9" s="31">
        <f>SUM(C9:O9)</f>
        <v>0</v>
      </c>
      <c r="R9" s="31" t="s">
        <v>90</v>
      </c>
    </row>
    <row r="10" spans="1:18" ht="18" customHeight="1" x14ac:dyDescent="0.35">
      <c r="A10" s="22"/>
      <c r="B10" s="29" t="s">
        <v>13</v>
      </c>
      <c r="C10" s="29">
        <f>BaseDeCalcul!K10</f>
        <v>0</v>
      </c>
      <c r="D10" s="29">
        <f>BaseDeCalcul!K12</f>
        <v>0</v>
      </c>
      <c r="E10" s="29">
        <f>BaseDeCalcul!K15</f>
        <v>0</v>
      </c>
      <c r="F10" s="29">
        <f>BaseDeCalcul!K24</f>
        <v>0</v>
      </c>
      <c r="G10" s="29">
        <f>BaseDeCalcul!K27</f>
        <v>0</v>
      </c>
      <c r="H10" s="29">
        <f>BaseDeCalcul!K30</f>
        <v>0</v>
      </c>
      <c r="I10" s="29">
        <f>BaseDeCalcul!K32</f>
        <v>0</v>
      </c>
      <c r="J10" s="29">
        <f>BaseDeCalcul!K41</f>
        <v>0</v>
      </c>
      <c r="K10" s="29">
        <f>BaseDeCalcul!K44</f>
        <v>0</v>
      </c>
      <c r="L10" s="29">
        <f>BaseDeCalcul!K50</f>
        <v>0</v>
      </c>
      <c r="M10" s="29">
        <f>BaseDeCalcul!K58</f>
        <v>0</v>
      </c>
      <c r="N10" s="29">
        <f>BaseDeCalcul!K64</f>
        <v>0</v>
      </c>
      <c r="O10" s="30">
        <f>BaseDeCalcul!K68</f>
        <v>0</v>
      </c>
      <c r="P10" s="17"/>
      <c r="Q10" s="31">
        <f>SUM(C10:O10)</f>
        <v>0</v>
      </c>
      <c r="R10" s="31" t="s">
        <v>13</v>
      </c>
    </row>
    <row r="11" spans="1:18" x14ac:dyDescent="0.35">
      <c r="B11" s="32"/>
      <c r="C11" s="32"/>
      <c r="D11" s="32"/>
      <c r="E11" s="32"/>
      <c r="F11" s="32"/>
      <c r="G11" s="32"/>
      <c r="H11" s="32"/>
      <c r="I11" s="32"/>
      <c r="J11" s="32"/>
      <c r="K11" s="32"/>
      <c r="L11" s="32"/>
      <c r="M11" s="32"/>
      <c r="N11" s="32"/>
      <c r="O11" s="32"/>
    </row>
    <row r="12" spans="1:18" x14ac:dyDescent="0.35">
      <c r="C12" s="1"/>
      <c r="D12" s="1"/>
      <c r="E12" s="1"/>
      <c r="F12" s="1"/>
    </row>
    <row r="13" spans="1:18" x14ac:dyDescent="0.35">
      <c r="C13" s="1"/>
      <c r="D13" s="1"/>
      <c r="E13" s="1"/>
      <c r="F13" s="1"/>
    </row>
    <row r="14" spans="1:18" x14ac:dyDescent="0.35">
      <c r="B14" s="1" t="s">
        <v>91</v>
      </c>
    </row>
    <row r="15" spans="1:18" x14ac:dyDescent="0.35">
      <c r="B15" s="33" t="e">
        <f>IF(Q10=0,ROUND(COUNTIF(BaseDeCalcul!L3:L67,"C")/(COUNTIF(BaseDeCalcul!L3:L67,"C")+COUNTIF(BaseDeCalcul!L3:L67,"NC"))*100, 2)&amp;"%","Pourcentage indisponible : il reste "&amp;Q10&amp;" critère(s) NT.")</f>
        <v>#DIV/0!</v>
      </c>
      <c r="C15" s="34"/>
    </row>
    <row r="16" spans="1:18" x14ac:dyDescent="0.35">
      <c r="C16" s="34"/>
    </row>
    <row r="17" spans="2:2" x14ac:dyDescent="0.35">
      <c r="B17" s="1" t="s">
        <v>92</v>
      </c>
    </row>
    <row r="18" spans="2:2" x14ac:dyDescent="0.35">
      <c r="B18" s="1" t="e">
        <f>IF(Q10=0,ROUND(AVERAGEIF(BaseDeCalcul!E72:G72,"&lt;&gt;NA")*100,1)&amp;"%","Pourcentage indisponible : il reste "&amp;Q10&amp;" critère(s) NT.")</f>
        <v>#DIV/0!</v>
      </c>
    </row>
    <row r="20" spans="2:2" x14ac:dyDescent="0.35">
      <c r="B20" s="1" t="e">
        <f>B15*100</f>
        <v>#DIV/0!</v>
      </c>
    </row>
    <row r="21" spans="2:2" x14ac:dyDescent="0.35">
      <c r="B21" s="1" t="e">
        <f>IF(AND(Synthèse!B20&gt;=Échelle!A2, Synthèse!B20&lt;Échelle!B2), Échelle!C2, IF(AND(Synthèse!B20&gt;=Échelle!A3, Synthèse!B20&lt;Échelle!B3), Échelle!C3, IF(AND(Synthèse!B20&gt;=Échelle!A4, Synthèse!B20&lt;Échelle!B4), Échelle!C4, IF(AND(Synthèse!B20&gt;=Échelle!A5, Synthèse!B20&lt;Échelle!B5), Échelle!C5, IF(AND(Synthèse!B20&gt;=Échelle!A6, Synthèse!B20&lt;=Échelle!B6), Échelle!C6, "" ) ) ) ) )</f>
        <v>#DIV/0!</v>
      </c>
    </row>
    <row r="36" spans="3:3" x14ac:dyDescent="0.35">
      <c r="C36" s="9">
        <v>1</v>
      </c>
    </row>
    <row r="43" spans="3:3" x14ac:dyDescent="0.35">
      <c r="C43" s="9">
        <v>1</v>
      </c>
    </row>
    <row r="57" spans="3:3" x14ac:dyDescent="0.35">
      <c r="C57" s="9">
        <v>1</v>
      </c>
    </row>
    <row r="58" spans="3:3" x14ac:dyDescent="0.35">
      <c r="C58" s="9">
        <v>1</v>
      </c>
    </row>
    <row r="67" spans="3:3" x14ac:dyDescent="0.35">
      <c r="C67" s="9">
        <v>1</v>
      </c>
    </row>
    <row r="68" spans="3:3" x14ac:dyDescent="0.35">
      <c r="C68" s="9">
        <v>1</v>
      </c>
    </row>
    <row r="69" spans="3:3" x14ac:dyDescent="0.35">
      <c r="C69" s="9">
        <v>1</v>
      </c>
    </row>
    <row r="70" spans="3:3" x14ac:dyDescent="0.35">
      <c r="C70" s="9">
        <v>1</v>
      </c>
    </row>
    <row r="71" spans="3:3" x14ac:dyDescent="0.35">
      <c r="C71" s="9">
        <v>1</v>
      </c>
    </row>
    <row r="87" spans="3:3" x14ac:dyDescent="0.35">
      <c r="C87" s="9">
        <v>1</v>
      </c>
    </row>
    <row r="88" spans="3:3" x14ac:dyDescent="0.35">
      <c r="C88" s="9">
        <v>1</v>
      </c>
    </row>
    <row r="89" spans="3:3" x14ac:dyDescent="0.35">
      <c r="C89" s="9">
        <v>1</v>
      </c>
    </row>
    <row r="97" spans="3:3" x14ac:dyDescent="0.35">
      <c r="C97" s="9">
        <v>1</v>
      </c>
    </row>
    <row r="98" spans="3:3" x14ac:dyDescent="0.35">
      <c r="C98" s="9">
        <v>1</v>
      </c>
    </row>
    <row r="101" spans="3:3" x14ac:dyDescent="0.35">
      <c r="C101" s="9">
        <v>1</v>
      </c>
    </row>
    <row r="107" spans="3:3" x14ac:dyDescent="0.35">
      <c r="C107" s="9">
        <v>1</v>
      </c>
    </row>
    <row r="108" spans="3:3" x14ac:dyDescent="0.35">
      <c r="C108" s="9">
        <v>1</v>
      </c>
    </row>
    <row r="112" spans="3:3" x14ac:dyDescent="0.35">
      <c r="C112" s="9">
        <v>1</v>
      </c>
    </row>
    <row r="113" spans="3:3" x14ac:dyDescent="0.35">
      <c r="C113" s="9">
        <v>1</v>
      </c>
    </row>
    <row r="116" spans="3:3" x14ac:dyDescent="0.35">
      <c r="C116" s="9">
        <v>1</v>
      </c>
    </row>
    <row r="117" spans="3:3" x14ac:dyDescent="0.35">
      <c r="C117" s="9">
        <v>1</v>
      </c>
    </row>
    <row r="119" spans="3:3" x14ac:dyDescent="0.35">
      <c r="C119" s="9">
        <v>1</v>
      </c>
    </row>
  </sheetData>
  <mergeCells count="16">
    <mergeCell ref="A1:O1"/>
    <mergeCell ref="A2:O2"/>
    <mergeCell ref="B3:B5"/>
    <mergeCell ref="C3:C5"/>
    <mergeCell ref="D3:D5"/>
    <mergeCell ref="E3:E5"/>
    <mergeCell ref="F3:F5"/>
    <mergeCell ref="G3:G5"/>
    <mergeCell ref="H3:H5"/>
    <mergeCell ref="I3:I5"/>
    <mergeCell ref="J3:J5"/>
    <mergeCell ref="K3:K5"/>
    <mergeCell ref="L3:L5"/>
    <mergeCell ref="M3:M5"/>
    <mergeCell ref="N3:N5"/>
    <mergeCell ref="O3:O5"/>
  </mergeCells>
  <pageMargins left="0.39375000000000004" right="0.39375000000000004" top="0.53263888888888899" bottom="0.39375000000000004" header="0.39375000000000004" footer="0.39375000000000004"/>
  <pageSetup paperSize="9" scale="74" pageOrder="overThenDown" orientation="portrait" horizontalDpi="300" verticalDpi="300"/>
  <headerFooter>
    <oddHeader>&amp;L&amp;10Contrôle simplifié&amp;R&amp;10&amp;P/&amp;N - &amp;A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6"/>
  <sheetViews>
    <sheetView workbookViewId="0"/>
  </sheetViews>
  <sheetFormatPr defaultRowHeight="15.5" x14ac:dyDescent="0.35"/>
  <cols>
    <col min="1" max="2" width="8.84375" style="2"/>
  </cols>
  <sheetData>
    <row r="1" spans="1:3" s="2" customFormat="1" x14ac:dyDescent="0.35">
      <c r="A1" s="2" t="s">
        <v>93</v>
      </c>
      <c r="B1" s="2" t="s">
        <v>94</v>
      </c>
      <c r="C1" s="2" t="s">
        <v>95</v>
      </c>
    </row>
    <row r="2" spans="1:3" x14ac:dyDescent="0.35">
      <c r="A2" s="2">
        <v>0</v>
      </c>
      <c r="B2" s="2">
        <v>20</v>
      </c>
      <c r="C2" t="s">
        <v>96</v>
      </c>
    </row>
    <row r="3" spans="1:3" x14ac:dyDescent="0.35">
      <c r="A3" s="2">
        <v>20</v>
      </c>
      <c r="B3" s="2">
        <v>40</v>
      </c>
      <c r="C3" t="s">
        <v>97</v>
      </c>
    </row>
    <row r="4" spans="1:3" x14ac:dyDescent="0.35">
      <c r="A4" s="2">
        <v>40</v>
      </c>
      <c r="B4" s="2">
        <v>60</v>
      </c>
      <c r="C4" t="s">
        <v>98</v>
      </c>
    </row>
    <row r="5" spans="1:3" x14ac:dyDescent="0.35">
      <c r="A5" s="2">
        <v>60</v>
      </c>
      <c r="B5" s="2">
        <v>80</v>
      </c>
      <c r="C5" t="s">
        <v>99</v>
      </c>
    </row>
    <row r="6" spans="1:3" x14ac:dyDescent="0.35">
      <c r="A6" s="2">
        <v>80</v>
      </c>
      <c r="B6" s="2">
        <v>100</v>
      </c>
      <c r="C6" t="s">
        <v>100</v>
      </c>
    </row>
  </sheetData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B2B50E-8E28-459B-A458-D6DFBB79EFF8}">
  <dimension ref="A1:C9"/>
  <sheetViews>
    <sheetView tabSelected="1" workbookViewId="0">
      <selection activeCell="A4" sqref="A4"/>
    </sheetView>
  </sheetViews>
  <sheetFormatPr defaultColWidth="7.3046875" defaultRowHeight="15.5" x14ac:dyDescent="0.35"/>
  <cols>
    <col min="1" max="1" width="6.69140625" style="36" bestFit="1" customWidth="1"/>
    <col min="2" max="2" width="39.3046875" style="36" customWidth="1"/>
    <col min="3" max="3" width="68.84375" style="36" customWidth="1"/>
    <col min="4" max="16384" width="7.3046875" style="36"/>
  </cols>
  <sheetData>
    <row r="1" spans="1:3" ht="31.5" customHeight="1" x14ac:dyDescent="0.35">
      <c r="A1" s="87" t="s">
        <v>0</v>
      </c>
      <c r="B1" s="87"/>
      <c r="C1" s="87"/>
    </row>
    <row r="2" spans="1:3" ht="15.75" customHeight="1" x14ac:dyDescent="0.35">
      <c r="A2" s="87" t="s">
        <v>1</v>
      </c>
      <c r="B2" s="87"/>
      <c r="C2" s="87"/>
    </row>
    <row r="3" spans="1:3" ht="15.75" customHeight="1" x14ac:dyDescent="0.35">
      <c r="A3" s="88" t="s">
        <v>161</v>
      </c>
      <c r="B3" s="88"/>
      <c r="C3" s="88"/>
    </row>
    <row r="4" spans="1:3" x14ac:dyDescent="0.35">
      <c r="A4" s="59" t="s">
        <v>2</v>
      </c>
      <c r="B4" s="85"/>
      <c r="C4" s="86"/>
    </row>
    <row r="5" spans="1:3" x14ac:dyDescent="0.35">
      <c r="A5" s="59"/>
      <c r="B5" s="65"/>
      <c r="C5" s="66"/>
    </row>
    <row r="6" spans="1:3" x14ac:dyDescent="0.35">
      <c r="A6" s="67" t="s">
        <v>3</v>
      </c>
      <c r="B6" s="67" t="s">
        <v>4</v>
      </c>
      <c r="C6" s="67" t="s">
        <v>5</v>
      </c>
    </row>
    <row r="7" spans="1:3" s="37" customFormat="1" ht="84" customHeight="1" x14ac:dyDescent="0.35">
      <c r="A7" s="58" t="s">
        <v>6</v>
      </c>
      <c r="B7" s="68"/>
      <c r="C7" s="65"/>
    </row>
    <row r="8" spans="1:3" s="37" customFormat="1" ht="36" customHeight="1" x14ac:dyDescent="0.35">
      <c r="A8" s="58" t="s">
        <v>7</v>
      </c>
      <c r="B8" s="68"/>
      <c r="C8" s="65"/>
    </row>
    <row r="9" spans="1:3" s="37" customFormat="1" ht="48" customHeight="1" x14ac:dyDescent="0.35">
      <c r="A9" s="58" t="s">
        <v>8</v>
      </c>
      <c r="B9" s="68"/>
      <c r="C9" s="65"/>
    </row>
  </sheetData>
  <mergeCells count="4">
    <mergeCell ref="B4:C4"/>
    <mergeCell ref="A1:C1"/>
    <mergeCell ref="A2:C2"/>
    <mergeCell ref="A3:C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8E7402-850D-47EF-A3D5-79EB035C8308}">
  <dimension ref="A1:K54"/>
  <sheetViews>
    <sheetView zoomScale="70" zoomScaleNormal="70" workbookViewId="0">
      <pane ySplit="1" topLeftCell="A2" activePane="bottomLeft" state="frozen"/>
      <selection pane="bottomLeft" activeCell="C2" sqref="C2"/>
    </sheetView>
  </sheetViews>
  <sheetFormatPr defaultRowHeight="15.5" x14ac:dyDescent="0.35"/>
  <cols>
    <col min="1" max="1" width="6" style="43" customWidth="1"/>
    <col min="2" max="2" width="8" style="43" customWidth="1"/>
    <col min="3" max="3" width="54" style="45" customWidth="1"/>
    <col min="4" max="4" width="8.84375" style="43" customWidth="1"/>
    <col min="5" max="5" width="5.23046875" style="43" customWidth="1"/>
    <col min="6" max="6" width="5" style="43" bestFit="1" customWidth="1"/>
    <col min="7" max="7" width="66.69140625" style="52" customWidth="1"/>
    <col min="8" max="8" width="28.69140625" style="47" customWidth="1"/>
    <col min="9" max="9" width="6.3046875" style="43" customWidth="1"/>
    <col min="10" max="10" width="5.53515625" style="43" customWidth="1"/>
    <col min="11" max="11" width="5.4609375" style="43" customWidth="1"/>
  </cols>
  <sheetData>
    <row r="1" spans="1:11" ht="101.25" customHeight="1" x14ac:dyDescent="0.35">
      <c r="A1" s="42" t="s">
        <v>103</v>
      </c>
      <c r="B1" s="41" t="s">
        <v>34</v>
      </c>
      <c r="C1" s="44" t="s">
        <v>35</v>
      </c>
      <c r="D1" s="64" t="s">
        <v>109</v>
      </c>
      <c r="E1" s="62" t="s">
        <v>89</v>
      </c>
      <c r="F1" s="62" t="s">
        <v>101</v>
      </c>
      <c r="G1" s="63" t="s">
        <v>102</v>
      </c>
      <c r="H1" s="46" t="s">
        <v>105</v>
      </c>
      <c r="I1" s="51" t="str">
        <f>"P01 " &amp; COUNTA(E2:E54) &amp;"/"&amp;COUNTA(C2:C54)</f>
        <v>P01 0/53</v>
      </c>
      <c r="J1" s="46" t="s">
        <v>7</v>
      </c>
      <c r="K1" s="46" t="s">
        <v>8</v>
      </c>
    </row>
    <row r="2" spans="1:11" ht="34" customHeight="1" x14ac:dyDescent="0.35">
      <c r="A2" s="57">
        <v>1</v>
      </c>
      <c r="B2" s="72" t="s">
        <v>115</v>
      </c>
      <c r="C2" s="55" t="s">
        <v>36</v>
      </c>
      <c r="D2" s="35"/>
      <c r="E2" s="79"/>
      <c r="F2" s="79"/>
      <c r="G2" s="71"/>
      <c r="H2" s="61" t="str">
        <f t="shared" ref="H2" si="0">IF(AND(E2="NC",G2=""),"Il manque un message d'erreur",
   IF(AND(E2&lt;&gt;"NC",G2&lt;&gt;""),"Il faut seulement écrire un message d'erreur pour NC",""))</f>
        <v/>
      </c>
      <c r="I2" s="43">
        <f>E2</f>
        <v>0</v>
      </c>
      <c r="J2" s="48">
        <f>'P02'!E2</f>
        <v>0</v>
      </c>
      <c r="K2" s="48">
        <f>'P03'!K2</f>
        <v>0</v>
      </c>
    </row>
    <row r="3" spans="1:11" ht="30" customHeight="1" x14ac:dyDescent="0.35">
      <c r="A3" s="57">
        <v>2</v>
      </c>
      <c r="B3" s="72" t="s">
        <v>116</v>
      </c>
      <c r="C3" s="69" t="s">
        <v>37</v>
      </c>
      <c r="D3" s="35"/>
      <c r="E3" s="79"/>
      <c r="F3" s="79"/>
      <c r="G3" s="71"/>
      <c r="H3" s="61" t="str">
        <f t="shared" ref="H3:H20" si="1">IF(AND(E3="NC",G3=""),"Il manque un message d'erreur",
   IF(AND(E3&lt;&gt;"NC",G3&lt;&gt;""),"Il faut seulement écrire un message d'erreur pour NC",""))</f>
        <v/>
      </c>
      <c r="I3" s="43">
        <f t="shared" ref="I3:I20" si="2">E3</f>
        <v>0</v>
      </c>
      <c r="J3" s="48">
        <f>'P02'!E3</f>
        <v>0</v>
      </c>
      <c r="K3" s="48">
        <f>'P03'!K3</f>
        <v>0</v>
      </c>
    </row>
    <row r="4" spans="1:11" ht="30" customHeight="1" x14ac:dyDescent="0.35">
      <c r="A4" s="57">
        <v>3</v>
      </c>
      <c r="B4" s="72" t="s">
        <v>117</v>
      </c>
      <c r="C4" s="55" t="s">
        <v>38</v>
      </c>
      <c r="D4" s="35">
        <f>IF(OR(E2="NA",E2="NC"),"NA",T3)</f>
        <v>0</v>
      </c>
      <c r="E4" s="79"/>
      <c r="F4" s="79"/>
      <c r="G4" s="71"/>
      <c r="H4" s="61" t="str">
        <f t="shared" si="1"/>
        <v/>
      </c>
      <c r="I4" s="43">
        <f t="shared" si="2"/>
        <v>0</v>
      </c>
      <c r="J4" s="48">
        <f>'P02'!E4</f>
        <v>0</v>
      </c>
      <c r="K4" s="48">
        <f>'P03'!K4</f>
        <v>0</v>
      </c>
    </row>
    <row r="5" spans="1:11" ht="45" customHeight="1" x14ac:dyDescent="0.35">
      <c r="A5" s="57">
        <v>4</v>
      </c>
      <c r="B5" s="72" t="s">
        <v>118</v>
      </c>
      <c r="C5" s="55" t="s">
        <v>39</v>
      </c>
      <c r="D5" s="35"/>
      <c r="E5" s="79"/>
      <c r="F5" s="79"/>
      <c r="G5" s="80"/>
      <c r="H5" s="61" t="str">
        <f t="shared" si="1"/>
        <v/>
      </c>
      <c r="I5" s="43">
        <f t="shared" si="2"/>
        <v>0</v>
      </c>
      <c r="J5" s="48">
        <f>'P02'!E5</f>
        <v>0</v>
      </c>
      <c r="K5" s="48">
        <f>'P03'!K5</f>
        <v>0</v>
      </c>
    </row>
    <row r="6" spans="1:11" ht="30" customHeight="1" x14ac:dyDescent="0.35">
      <c r="A6" s="57">
        <v>5</v>
      </c>
      <c r="B6" s="72" t="s">
        <v>119</v>
      </c>
      <c r="C6" s="55" t="s">
        <v>40</v>
      </c>
      <c r="D6" s="35"/>
      <c r="E6" s="79"/>
      <c r="F6" s="79"/>
      <c r="G6" s="80"/>
      <c r="H6" s="61" t="str">
        <f t="shared" si="1"/>
        <v/>
      </c>
      <c r="I6" s="43">
        <f t="shared" si="2"/>
        <v>0</v>
      </c>
      <c r="J6" s="48">
        <f>'P02'!E6</f>
        <v>0</v>
      </c>
      <c r="K6" s="48">
        <f>'P03'!K6</f>
        <v>0</v>
      </c>
    </row>
    <row r="7" spans="1:11" ht="30" customHeight="1" x14ac:dyDescent="0.35">
      <c r="A7" s="57">
        <v>6</v>
      </c>
      <c r="B7" s="72" t="s">
        <v>120</v>
      </c>
      <c r="C7" s="55" t="s">
        <v>41</v>
      </c>
      <c r="D7" s="35">
        <f>IF(OR(E2="NA",E2="NC"),"NA",T6)</f>
        <v>0</v>
      </c>
      <c r="E7" s="79"/>
      <c r="F7" s="79"/>
      <c r="G7" s="80"/>
      <c r="H7" s="61" t="str">
        <f t="shared" si="1"/>
        <v/>
      </c>
      <c r="I7" s="43">
        <f t="shared" si="2"/>
        <v>0</v>
      </c>
      <c r="J7" s="48">
        <f>'P02'!E7</f>
        <v>0</v>
      </c>
      <c r="K7" s="48">
        <f>'P03'!K7</f>
        <v>0</v>
      </c>
    </row>
    <row r="8" spans="1:11" ht="30" customHeight="1" x14ac:dyDescent="0.35">
      <c r="A8" s="57">
        <v>7</v>
      </c>
      <c r="B8" s="72" t="s">
        <v>121</v>
      </c>
      <c r="C8" s="56" t="s">
        <v>42</v>
      </c>
      <c r="D8" s="35">
        <f>IF(OR(E2="NA",E2="NC"),"NA",T7)</f>
        <v>0</v>
      </c>
      <c r="E8" s="79"/>
      <c r="F8" s="79"/>
      <c r="G8" s="71"/>
      <c r="H8" s="61" t="str">
        <f t="shared" si="1"/>
        <v/>
      </c>
      <c r="I8" s="43">
        <f t="shared" si="2"/>
        <v>0</v>
      </c>
      <c r="J8" s="48">
        <f>'P02'!E8</f>
        <v>0</v>
      </c>
      <c r="K8" s="48">
        <f>'P03'!K8</f>
        <v>0</v>
      </c>
    </row>
    <row r="9" spans="1:11" ht="15.75" customHeight="1" x14ac:dyDescent="0.35">
      <c r="A9" s="57">
        <v>8</v>
      </c>
      <c r="B9" s="72">
        <v>2.1</v>
      </c>
      <c r="C9" s="53" t="s">
        <v>43</v>
      </c>
      <c r="D9" s="35"/>
      <c r="E9" s="79"/>
      <c r="F9" s="79"/>
      <c r="G9" s="71"/>
      <c r="H9" s="61" t="str">
        <f t="shared" si="1"/>
        <v/>
      </c>
      <c r="I9" s="43">
        <f t="shared" si="2"/>
        <v>0</v>
      </c>
      <c r="J9" s="48">
        <f>'P02'!E9</f>
        <v>0</v>
      </c>
      <c r="K9" s="48">
        <f>'P03'!K9</f>
        <v>0</v>
      </c>
    </row>
    <row r="10" spans="1:11" ht="30" customHeight="1" x14ac:dyDescent="0.35">
      <c r="A10" s="57">
        <v>9</v>
      </c>
      <c r="B10" s="72" t="s">
        <v>122</v>
      </c>
      <c r="C10" s="53" t="s">
        <v>44</v>
      </c>
      <c r="D10" s="35"/>
      <c r="E10" s="79"/>
      <c r="F10" s="79"/>
      <c r="G10" s="80"/>
      <c r="H10" s="61" t="str">
        <f t="shared" si="1"/>
        <v/>
      </c>
      <c r="I10" s="43">
        <f t="shared" si="2"/>
        <v>0</v>
      </c>
      <c r="J10" s="48">
        <f>'P02'!E10</f>
        <v>0</v>
      </c>
      <c r="K10" s="48">
        <f>'P03'!K10</f>
        <v>0</v>
      </c>
    </row>
    <row r="11" spans="1:11" ht="43.5" x14ac:dyDescent="0.35">
      <c r="A11" s="57">
        <v>10</v>
      </c>
      <c r="B11" s="72" t="s">
        <v>123</v>
      </c>
      <c r="C11" s="53" t="s">
        <v>45</v>
      </c>
      <c r="D11" s="35"/>
      <c r="E11" s="79"/>
      <c r="F11" s="79"/>
      <c r="G11" s="80"/>
      <c r="H11" s="61" t="str">
        <f t="shared" si="1"/>
        <v/>
      </c>
      <c r="I11" s="43">
        <f t="shared" si="2"/>
        <v>0</v>
      </c>
      <c r="J11" s="48">
        <f>'P02'!E11</f>
        <v>0</v>
      </c>
      <c r="K11" s="48">
        <f>'P03'!K11</f>
        <v>0</v>
      </c>
    </row>
    <row r="12" spans="1:11" ht="30" customHeight="1" x14ac:dyDescent="0.35">
      <c r="A12" s="57">
        <v>11</v>
      </c>
      <c r="B12" s="72" t="s">
        <v>124</v>
      </c>
      <c r="C12" s="53" t="s">
        <v>46</v>
      </c>
      <c r="D12" s="35"/>
      <c r="E12" s="79"/>
      <c r="F12" s="79"/>
      <c r="G12" s="71"/>
      <c r="H12" s="61" t="str">
        <f t="shared" si="1"/>
        <v/>
      </c>
      <c r="I12" s="43">
        <f t="shared" si="2"/>
        <v>0</v>
      </c>
      <c r="J12" s="48">
        <f>'P02'!E12</f>
        <v>0</v>
      </c>
      <c r="K12" s="48">
        <f>'P03'!K12</f>
        <v>0</v>
      </c>
    </row>
    <row r="13" spans="1:11" ht="134.25" customHeight="1" x14ac:dyDescent="0.35">
      <c r="A13" s="57">
        <v>12</v>
      </c>
      <c r="B13" s="72" t="s">
        <v>125</v>
      </c>
      <c r="C13" s="53" t="s">
        <v>47</v>
      </c>
      <c r="D13" s="35">
        <f>IF(OR(E12="NA",E12="NC"),"NA",T13)</f>
        <v>0</v>
      </c>
      <c r="E13" s="79"/>
      <c r="F13" s="79"/>
      <c r="G13" s="71"/>
      <c r="H13" s="61" t="str">
        <f t="shared" si="1"/>
        <v/>
      </c>
      <c r="I13" s="43">
        <f t="shared" si="2"/>
        <v>0</v>
      </c>
      <c r="J13" s="48">
        <f>'P02'!E13</f>
        <v>0</v>
      </c>
      <c r="K13" s="48">
        <f>'P03'!K13</f>
        <v>0</v>
      </c>
    </row>
    <row r="14" spans="1:11" ht="30" customHeight="1" x14ac:dyDescent="0.35">
      <c r="A14" s="57">
        <v>13</v>
      </c>
      <c r="B14" s="72" t="s">
        <v>126</v>
      </c>
      <c r="C14" s="53" t="s">
        <v>48</v>
      </c>
      <c r="D14" s="35">
        <f>IF(OR(E12="NA",E12="NC"),"NA",T14)</f>
        <v>0</v>
      </c>
      <c r="E14" s="79"/>
      <c r="F14" s="79"/>
      <c r="G14" s="71"/>
      <c r="H14" s="61" t="str">
        <f t="shared" si="1"/>
        <v/>
      </c>
      <c r="I14" s="43">
        <f t="shared" si="2"/>
        <v>0</v>
      </c>
      <c r="J14" s="48">
        <f>'P02'!E14</f>
        <v>0</v>
      </c>
      <c r="K14" s="48">
        <f>'P03'!K14</f>
        <v>0</v>
      </c>
    </row>
    <row r="15" spans="1:11" ht="30" customHeight="1" x14ac:dyDescent="0.35">
      <c r="A15" s="57">
        <v>14</v>
      </c>
      <c r="B15" s="72" t="s">
        <v>127</v>
      </c>
      <c r="C15" s="53" t="s">
        <v>49</v>
      </c>
      <c r="D15" s="35">
        <f>IF(OR(E12="NA",E12="NC"),"NA",T15)</f>
        <v>0</v>
      </c>
      <c r="E15" s="79"/>
      <c r="F15" s="79"/>
      <c r="G15" s="71"/>
      <c r="H15" s="61" t="str">
        <f t="shared" si="1"/>
        <v/>
      </c>
      <c r="I15" s="43">
        <f t="shared" si="2"/>
        <v>0</v>
      </c>
      <c r="J15" s="48">
        <f>'P02'!E15</f>
        <v>0</v>
      </c>
      <c r="K15" s="48">
        <f>'P03'!K15</f>
        <v>0</v>
      </c>
    </row>
    <row r="16" spans="1:11" ht="30" customHeight="1" x14ac:dyDescent="0.35">
      <c r="A16" s="57">
        <v>15</v>
      </c>
      <c r="B16" s="72" t="s">
        <v>128</v>
      </c>
      <c r="C16" s="53" t="s">
        <v>50</v>
      </c>
      <c r="D16" s="35"/>
      <c r="E16" s="79"/>
      <c r="F16" s="79"/>
      <c r="G16" s="71"/>
      <c r="H16" s="61" t="str">
        <f t="shared" si="1"/>
        <v/>
      </c>
      <c r="I16" s="43">
        <f t="shared" si="2"/>
        <v>0</v>
      </c>
      <c r="J16" s="48">
        <f>'P02'!E16</f>
        <v>0</v>
      </c>
      <c r="K16" s="48">
        <f>'P03'!K16</f>
        <v>0</v>
      </c>
    </row>
    <row r="17" spans="1:11" ht="30" customHeight="1" x14ac:dyDescent="0.35">
      <c r="A17" s="57">
        <v>16</v>
      </c>
      <c r="B17" s="72" t="s">
        <v>129</v>
      </c>
      <c r="C17" s="53" t="s">
        <v>51</v>
      </c>
      <c r="D17" s="35">
        <f>IF(OR(E16="NA",E16="NC"),"NA",T21)</f>
        <v>0</v>
      </c>
      <c r="E17" s="79"/>
      <c r="F17" s="79"/>
      <c r="G17" s="71"/>
      <c r="H17" s="61" t="str">
        <f t="shared" si="1"/>
        <v/>
      </c>
      <c r="I17" s="43">
        <f t="shared" si="2"/>
        <v>0</v>
      </c>
      <c r="J17" s="48">
        <f>'P02'!E17</f>
        <v>0</v>
      </c>
      <c r="K17" s="48">
        <f>'P03'!K17</f>
        <v>0</v>
      </c>
    </row>
    <row r="18" spans="1:11" ht="30" customHeight="1" x14ac:dyDescent="0.35">
      <c r="A18" s="57">
        <v>17</v>
      </c>
      <c r="B18" s="72" t="s">
        <v>130</v>
      </c>
      <c r="C18" s="53" t="s">
        <v>52</v>
      </c>
      <c r="D18" s="35"/>
      <c r="E18" s="79"/>
      <c r="F18" s="79"/>
      <c r="G18" s="71"/>
      <c r="H18" s="61" t="str">
        <f t="shared" si="1"/>
        <v/>
      </c>
      <c r="I18" s="43">
        <f t="shared" si="2"/>
        <v>0</v>
      </c>
      <c r="J18" s="48">
        <f>'P02'!E18</f>
        <v>0</v>
      </c>
      <c r="K18" s="48">
        <f>'P03'!K18</f>
        <v>0</v>
      </c>
    </row>
    <row r="19" spans="1:11" ht="30" customHeight="1" x14ac:dyDescent="0.35">
      <c r="A19" s="57">
        <v>18</v>
      </c>
      <c r="B19" s="72" t="s">
        <v>131</v>
      </c>
      <c r="C19" s="53" t="s">
        <v>53</v>
      </c>
      <c r="D19" s="35">
        <f>IF(OR(E12="NA",E12="NC"),"NA",T16)</f>
        <v>0</v>
      </c>
      <c r="E19" s="79"/>
      <c r="F19" s="79"/>
      <c r="G19" s="71"/>
      <c r="H19" s="61" t="str">
        <f t="shared" si="1"/>
        <v/>
      </c>
      <c r="I19" s="43">
        <f t="shared" si="2"/>
        <v>0</v>
      </c>
      <c r="J19" s="48">
        <f>'P02'!E19</f>
        <v>0</v>
      </c>
      <c r="K19" s="48">
        <f>'P03'!K19</f>
        <v>0</v>
      </c>
    </row>
    <row r="20" spans="1:11" ht="30" customHeight="1" x14ac:dyDescent="0.35">
      <c r="A20" s="57">
        <v>19</v>
      </c>
      <c r="B20" s="72" t="s">
        <v>132</v>
      </c>
      <c r="C20" s="53" t="s">
        <v>54</v>
      </c>
      <c r="D20" s="35"/>
      <c r="E20" s="79"/>
      <c r="F20" s="79"/>
      <c r="G20" s="80"/>
      <c r="H20" s="61" t="str">
        <f t="shared" si="1"/>
        <v/>
      </c>
      <c r="I20" s="43">
        <f t="shared" si="2"/>
        <v>0</v>
      </c>
      <c r="J20" s="48">
        <f>'P02'!E20</f>
        <v>0</v>
      </c>
      <c r="K20" s="48">
        <f>'P03'!K20</f>
        <v>0</v>
      </c>
    </row>
    <row r="21" spans="1:11" ht="45" customHeight="1" x14ac:dyDescent="0.35">
      <c r="A21" s="57">
        <v>20</v>
      </c>
      <c r="B21" s="72" t="s">
        <v>133</v>
      </c>
      <c r="C21" s="53" t="s">
        <v>55</v>
      </c>
      <c r="D21" s="35">
        <f>IF(OR(E20="NA",E20="NC"),"NA",T26)</f>
        <v>0</v>
      </c>
      <c r="E21" s="79"/>
      <c r="F21" s="79"/>
      <c r="G21" s="71"/>
      <c r="H21" s="61" t="str">
        <f t="shared" ref="H21:H54" si="3">IF(AND(E21="NC",G21=""),"Il manque un message d'erreur",
   IF(AND(E21&lt;&gt;"NC",G21&lt;&gt;""),"Il faut seulement écrire un message d'erreur pour NC",""))</f>
        <v/>
      </c>
      <c r="I21" s="43">
        <f t="shared" ref="I21:I46" si="4">E21</f>
        <v>0</v>
      </c>
      <c r="J21" s="48">
        <f>'P02'!E21</f>
        <v>0</v>
      </c>
      <c r="K21" s="48">
        <f>'P03'!K21</f>
        <v>0</v>
      </c>
    </row>
    <row r="22" spans="1:11" s="39" customFormat="1" x14ac:dyDescent="0.35">
      <c r="A22" s="57">
        <v>21</v>
      </c>
      <c r="B22" s="72" t="s">
        <v>134</v>
      </c>
      <c r="C22" s="53" t="s">
        <v>56</v>
      </c>
      <c r="D22" s="35"/>
      <c r="E22" s="79"/>
      <c r="F22" s="79"/>
      <c r="G22" s="80"/>
      <c r="H22" s="61" t="str">
        <f t="shared" si="3"/>
        <v/>
      </c>
      <c r="I22" s="43">
        <f t="shared" si="4"/>
        <v>0</v>
      </c>
      <c r="J22" s="48">
        <f>'P02'!E22</f>
        <v>0</v>
      </c>
      <c r="K22" s="48">
        <f>'P03'!K22</f>
        <v>0</v>
      </c>
    </row>
    <row r="23" spans="1:11" ht="73.5" customHeight="1" x14ac:dyDescent="0.35">
      <c r="A23" s="57">
        <v>22</v>
      </c>
      <c r="B23" s="72" t="s">
        <v>135</v>
      </c>
      <c r="C23" s="53" t="s">
        <v>57</v>
      </c>
      <c r="D23" s="35"/>
      <c r="E23" s="79"/>
      <c r="F23" s="79"/>
      <c r="G23" s="80"/>
      <c r="H23" s="61" t="str">
        <f t="shared" si="3"/>
        <v/>
      </c>
      <c r="I23" s="43">
        <f t="shared" si="4"/>
        <v>0</v>
      </c>
      <c r="J23" s="48">
        <f>'P02'!E23</f>
        <v>0</v>
      </c>
      <c r="K23" s="48">
        <f>'P03'!K23</f>
        <v>0</v>
      </c>
    </row>
    <row r="24" spans="1:11" ht="29" x14ac:dyDescent="0.35">
      <c r="A24" s="57">
        <v>23</v>
      </c>
      <c r="B24" s="72" t="s">
        <v>136</v>
      </c>
      <c r="C24" s="53" t="s">
        <v>58</v>
      </c>
      <c r="D24" s="35"/>
      <c r="E24" s="79"/>
      <c r="F24" s="79"/>
      <c r="G24" s="80"/>
      <c r="H24" s="61" t="str">
        <f t="shared" si="3"/>
        <v/>
      </c>
      <c r="I24" s="43">
        <f t="shared" si="4"/>
        <v>0</v>
      </c>
      <c r="J24" s="48">
        <f>'P02'!E24</f>
        <v>0</v>
      </c>
      <c r="K24" s="48">
        <f>'P03'!K24</f>
        <v>0</v>
      </c>
    </row>
    <row r="25" spans="1:11" s="60" customFormat="1" x14ac:dyDescent="0.35">
      <c r="A25" s="57">
        <v>24</v>
      </c>
      <c r="B25" s="72">
        <v>8.1</v>
      </c>
      <c r="C25" s="53" t="s">
        <v>162</v>
      </c>
      <c r="D25" s="35"/>
      <c r="E25" s="79"/>
      <c r="F25" s="79"/>
      <c r="G25" s="80"/>
      <c r="H25" s="61"/>
      <c r="I25" s="43">
        <f t="shared" ref="I25" si="5">E25</f>
        <v>0</v>
      </c>
      <c r="J25" s="48">
        <f>'P02'!E25</f>
        <v>0</v>
      </c>
      <c r="K25" s="48">
        <f>'P03'!K25</f>
        <v>0</v>
      </c>
    </row>
    <row r="26" spans="1:11" ht="30" customHeight="1" x14ac:dyDescent="0.35">
      <c r="A26" s="57">
        <v>25</v>
      </c>
      <c r="B26" s="72" t="s">
        <v>137</v>
      </c>
      <c r="C26" s="53" t="s">
        <v>59</v>
      </c>
      <c r="D26" s="35"/>
      <c r="E26" s="79"/>
      <c r="F26" s="79"/>
      <c r="G26" s="71"/>
      <c r="H26" s="61" t="str">
        <f t="shared" si="3"/>
        <v/>
      </c>
      <c r="I26" s="43">
        <f t="shared" si="4"/>
        <v>0</v>
      </c>
      <c r="J26" s="48">
        <f>'P02'!E26</f>
        <v>0</v>
      </c>
      <c r="K26" s="48">
        <f>'P03'!K26</f>
        <v>0</v>
      </c>
    </row>
    <row r="27" spans="1:11" ht="15.75" customHeight="1" x14ac:dyDescent="0.35">
      <c r="A27" s="57">
        <v>26</v>
      </c>
      <c r="B27" s="72" t="s">
        <v>138</v>
      </c>
      <c r="C27" s="53" t="s">
        <v>60</v>
      </c>
      <c r="D27" s="35"/>
      <c r="E27" s="79"/>
      <c r="F27" s="79"/>
      <c r="G27" s="71"/>
      <c r="H27" s="61" t="str">
        <f t="shared" si="3"/>
        <v/>
      </c>
      <c r="I27" s="43">
        <f t="shared" si="4"/>
        <v>0</v>
      </c>
      <c r="J27" s="48">
        <f>'P02'!E27</f>
        <v>0</v>
      </c>
      <c r="K27" s="48">
        <f>'P03'!K27</f>
        <v>0</v>
      </c>
    </row>
    <row r="28" spans="1:11" ht="30" customHeight="1" x14ac:dyDescent="0.35">
      <c r="A28" s="57">
        <v>27</v>
      </c>
      <c r="B28" s="72" t="s">
        <v>139</v>
      </c>
      <c r="C28" s="53" t="s">
        <v>61</v>
      </c>
      <c r="D28" s="35">
        <f>IF(E27="NA","NA",U35)</f>
        <v>0</v>
      </c>
      <c r="E28" s="79"/>
      <c r="F28" s="79"/>
      <c r="G28" s="71"/>
      <c r="H28" s="61" t="str">
        <f t="shared" si="3"/>
        <v/>
      </c>
      <c r="I28" s="43">
        <f t="shared" si="4"/>
        <v>0</v>
      </c>
      <c r="J28" s="48">
        <f>'P02'!E28</f>
        <v>0</v>
      </c>
      <c r="K28" s="48">
        <f>'P03'!K28</f>
        <v>0</v>
      </c>
    </row>
    <row r="29" spans="1:11" ht="15.75" customHeight="1" x14ac:dyDescent="0.35">
      <c r="A29" s="57">
        <v>28</v>
      </c>
      <c r="B29" s="72" t="s">
        <v>140</v>
      </c>
      <c r="C29" s="53" t="s">
        <v>62</v>
      </c>
      <c r="D29" s="35"/>
      <c r="E29" s="79"/>
      <c r="F29" s="79"/>
      <c r="G29" s="71"/>
      <c r="H29" s="61" t="str">
        <f t="shared" si="3"/>
        <v/>
      </c>
      <c r="I29" s="43">
        <f t="shared" si="4"/>
        <v>0</v>
      </c>
      <c r="J29" s="48">
        <f>'P02'!E29</f>
        <v>0</v>
      </c>
      <c r="K29" s="48">
        <f>'P03'!K29</f>
        <v>0</v>
      </c>
    </row>
    <row r="30" spans="1:11" ht="15.75" customHeight="1" x14ac:dyDescent="0.35">
      <c r="A30" s="57">
        <v>29</v>
      </c>
      <c r="B30" s="72" t="s">
        <v>141</v>
      </c>
      <c r="C30" s="53" t="s">
        <v>63</v>
      </c>
      <c r="D30" s="35"/>
      <c r="E30" s="79"/>
      <c r="F30" s="79"/>
      <c r="G30" s="71"/>
      <c r="H30" s="61" t="str">
        <f t="shared" si="3"/>
        <v/>
      </c>
      <c r="I30" s="43">
        <f t="shared" si="4"/>
        <v>0</v>
      </c>
      <c r="J30" s="48">
        <f>'P02'!E30</f>
        <v>0</v>
      </c>
      <c r="K30" s="48">
        <f>'P03'!K30</f>
        <v>0</v>
      </c>
    </row>
    <row r="31" spans="1:11" ht="30" customHeight="1" x14ac:dyDescent="0.35">
      <c r="A31" s="57">
        <v>30</v>
      </c>
      <c r="B31" s="72" t="s">
        <v>142</v>
      </c>
      <c r="C31" s="53" t="s">
        <v>64</v>
      </c>
      <c r="D31" s="35"/>
      <c r="E31" s="79"/>
      <c r="F31" s="79"/>
      <c r="G31" s="71"/>
      <c r="H31" s="61" t="str">
        <f t="shared" si="3"/>
        <v/>
      </c>
      <c r="I31" s="43">
        <f t="shared" si="4"/>
        <v>0</v>
      </c>
      <c r="J31" s="48">
        <f>'P02'!E31</f>
        <v>0</v>
      </c>
      <c r="K31" s="48">
        <f>'P03'!K31</f>
        <v>0</v>
      </c>
    </row>
    <row r="32" spans="1:11" ht="30" customHeight="1" x14ac:dyDescent="0.35">
      <c r="A32" s="57">
        <v>31</v>
      </c>
      <c r="B32" s="72" t="s">
        <v>143</v>
      </c>
      <c r="C32" s="53" t="s">
        <v>65</v>
      </c>
      <c r="D32" s="35">
        <f>IF(OR(E31="NA",E31="NC"),"NA",T40)</f>
        <v>0</v>
      </c>
      <c r="E32" s="79"/>
      <c r="F32" s="79"/>
      <c r="G32" s="71"/>
      <c r="H32" s="61" t="str">
        <f t="shared" si="3"/>
        <v/>
      </c>
      <c r="I32" s="43">
        <f t="shared" si="4"/>
        <v>0</v>
      </c>
      <c r="J32" s="48">
        <f>'P02'!E32</f>
        <v>0</v>
      </c>
      <c r="K32" s="48">
        <f>'P03'!K32</f>
        <v>0</v>
      </c>
    </row>
    <row r="33" spans="1:11" ht="30" customHeight="1" x14ac:dyDescent="0.35">
      <c r="A33" s="57">
        <v>32</v>
      </c>
      <c r="B33" s="72" t="s">
        <v>144</v>
      </c>
      <c r="C33" s="53" t="s">
        <v>66</v>
      </c>
      <c r="D33" s="35"/>
      <c r="E33" s="79"/>
      <c r="F33" s="79"/>
      <c r="G33" s="71"/>
      <c r="H33" s="61" t="str">
        <f t="shared" si="3"/>
        <v/>
      </c>
      <c r="I33" s="43">
        <f t="shared" si="4"/>
        <v>0</v>
      </c>
      <c r="J33" s="48">
        <f>'P02'!E33</f>
        <v>0</v>
      </c>
      <c r="K33" s="48">
        <f>'P03'!K33</f>
        <v>0</v>
      </c>
    </row>
    <row r="34" spans="1:11" ht="30" customHeight="1" x14ac:dyDescent="0.35">
      <c r="A34" s="57">
        <v>33</v>
      </c>
      <c r="B34" s="72" t="s">
        <v>145</v>
      </c>
      <c r="C34" s="53" t="s">
        <v>67</v>
      </c>
      <c r="D34" s="35"/>
      <c r="E34" s="79"/>
      <c r="F34" s="79"/>
      <c r="G34" s="80"/>
      <c r="H34" s="61" t="str">
        <f t="shared" si="3"/>
        <v/>
      </c>
      <c r="I34" s="43">
        <f t="shared" si="4"/>
        <v>0</v>
      </c>
      <c r="J34" s="48">
        <f>'P02'!E34</f>
        <v>0</v>
      </c>
      <c r="K34" s="48">
        <f>'P03'!K34</f>
        <v>0</v>
      </c>
    </row>
    <row r="35" spans="1:11" ht="29" x14ac:dyDescent="0.35">
      <c r="A35" s="57">
        <v>34</v>
      </c>
      <c r="B35" s="72" t="s">
        <v>146</v>
      </c>
      <c r="C35" s="53" t="s">
        <v>68</v>
      </c>
      <c r="D35" s="35"/>
      <c r="E35" s="79"/>
      <c r="F35" s="79"/>
      <c r="G35" s="80"/>
      <c r="H35" s="61" t="str">
        <f t="shared" si="3"/>
        <v/>
      </c>
      <c r="I35" s="43">
        <f t="shared" si="4"/>
        <v>0</v>
      </c>
      <c r="J35" s="48">
        <f>'P02'!E35</f>
        <v>0</v>
      </c>
      <c r="K35" s="48">
        <f>'P03'!K35</f>
        <v>0</v>
      </c>
    </row>
    <row r="36" spans="1:11" ht="30" customHeight="1" x14ac:dyDescent="0.35">
      <c r="A36" s="57">
        <v>35</v>
      </c>
      <c r="B36" s="72" t="s">
        <v>147</v>
      </c>
      <c r="C36" s="53" t="s">
        <v>69</v>
      </c>
      <c r="D36" s="35"/>
      <c r="E36" s="79"/>
      <c r="F36" s="79"/>
      <c r="G36" s="80"/>
      <c r="H36" s="61" t="str">
        <f t="shared" si="3"/>
        <v/>
      </c>
      <c r="I36" s="43">
        <f t="shared" si="4"/>
        <v>0</v>
      </c>
      <c r="J36" s="48">
        <f>'P02'!E36</f>
        <v>0</v>
      </c>
      <c r="K36" s="48">
        <f>'P03'!K36</f>
        <v>0</v>
      </c>
    </row>
    <row r="37" spans="1:11" ht="30" customHeight="1" x14ac:dyDescent="0.35">
      <c r="A37" s="57">
        <v>36</v>
      </c>
      <c r="B37" s="72" t="s">
        <v>148</v>
      </c>
      <c r="C37" s="53" t="s">
        <v>70</v>
      </c>
      <c r="D37" s="35"/>
      <c r="E37" s="79"/>
      <c r="F37" s="79"/>
      <c r="G37" s="80"/>
      <c r="H37" s="61" t="str">
        <f t="shared" si="3"/>
        <v/>
      </c>
      <c r="I37" s="43">
        <f t="shared" si="4"/>
        <v>0</v>
      </c>
      <c r="J37" s="48">
        <f>'P02'!E37</f>
        <v>0</v>
      </c>
      <c r="K37" s="48">
        <f>'P03'!K37</f>
        <v>0</v>
      </c>
    </row>
    <row r="38" spans="1:11" ht="45" customHeight="1" x14ac:dyDescent="0.35">
      <c r="A38" s="57">
        <v>37</v>
      </c>
      <c r="B38" s="72" t="s">
        <v>149</v>
      </c>
      <c r="C38" s="53" t="s">
        <v>71</v>
      </c>
      <c r="D38" s="35"/>
      <c r="E38" s="79"/>
      <c r="F38" s="79"/>
      <c r="G38" s="81"/>
      <c r="H38" s="61" t="str">
        <f t="shared" si="3"/>
        <v/>
      </c>
      <c r="I38" s="43">
        <f t="shared" si="4"/>
        <v>0</v>
      </c>
      <c r="J38" s="48">
        <f>'P02'!E38</f>
        <v>0</v>
      </c>
      <c r="K38" s="48">
        <f>'P03'!K38</f>
        <v>0</v>
      </c>
    </row>
    <row r="39" spans="1:11" ht="45" customHeight="1" x14ac:dyDescent="0.35">
      <c r="A39" s="57">
        <v>38</v>
      </c>
      <c r="B39" s="72" t="s">
        <v>150</v>
      </c>
      <c r="C39" s="53" t="s">
        <v>72</v>
      </c>
      <c r="D39" s="35"/>
      <c r="E39" s="79"/>
      <c r="F39" s="79"/>
      <c r="G39" s="71"/>
      <c r="H39" s="61" t="str">
        <f t="shared" si="3"/>
        <v/>
      </c>
      <c r="I39" s="43">
        <f t="shared" si="4"/>
        <v>0</v>
      </c>
      <c r="J39" s="48">
        <f>'P02'!E39</f>
        <v>0</v>
      </c>
      <c r="K39" s="48">
        <f>'P03'!K39</f>
        <v>0</v>
      </c>
    </row>
    <row r="40" spans="1:11" x14ac:dyDescent="0.35">
      <c r="A40" s="57">
        <v>39</v>
      </c>
      <c r="B40" s="72" t="s">
        <v>151</v>
      </c>
      <c r="C40" s="53" t="s">
        <v>73</v>
      </c>
      <c r="D40" s="35"/>
      <c r="E40" s="79"/>
      <c r="F40" s="79"/>
      <c r="G40" s="80"/>
      <c r="H40" s="61" t="str">
        <f t="shared" si="3"/>
        <v/>
      </c>
      <c r="I40" s="43">
        <f t="shared" si="4"/>
        <v>0</v>
      </c>
      <c r="J40" s="48">
        <f>'P02'!E40</f>
        <v>0</v>
      </c>
      <c r="K40" s="48">
        <f>'P03'!K40</f>
        <v>0</v>
      </c>
    </row>
    <row r="41" spans="1:11" ht="30" customHeight="1" x14ac:dyDescent="0.35">
      <c r="A41" s="57">
        <v>40</v>
      </c>
      <c r="B41" s="72" t="s">
        <v>152</v>
      </c>
      <c r="C41" s="53" t="s">
        <v>74</v>
      </c>
      <c r="D41" s="35"/>
      <c r="E41" s="79"/>
      <c r="F41" s="79"/>
      <c r="G41" s="71"/>
      <c r="H41" s="61" t="str">
        <f t="shared" si="3"/>
        <v/>
      </c>
      <c r="I41" s="43">
        <f t="shared" si="4"/>
        <v>0</v>
      </c>
      <c r="J41" s="48">
        <f>'P02'!E41</f>
        <v>0</v>
      </c>
      <c r="K41" s="48">
        <f>'P03'!K41</f>
        <v>0</v>
      </c>
    </row>
    <row r="42" spans="1:11" ht="30" customHeight="1" x14ac:dyDescent="0.35">
      <c r="A42" s="57">
        <v>41</v>
      </c>
      <c r="B42" s="72" t="s">
        <v>153</v>
      </c>
      <c r="C42" s="53" t="s">
        <v>75</v>
      </c>
      <c r="D42" s="35"/>
      <c r="E42" s="79"/>
      <c r="F42" s="79"/>
      <c r="G42" s="71"/>
      <c r="H42" s="61" t="str">
        <f t="shared" si="3"/>
        <v/>
      </c>
      <c r="I42" s="43">
        <f t="shared" si="4"/>
        <v>0</v>
      </c>
      <c r="J42" s="48">
        <f>'P02'!E42</f>
        <v>0</v>
      </c>
      <c r="K42" s="48">
        <f>'P03'!K42</f>
        <v>0</v>
      </c>
    </row>
    <row r="43" spans="1:11" ht="30" customHeight="1" x14ac:dyDescent="0.35">
      <c r="A43" s="57">
        <v>42</v>
      </c>
      <c r="B43" s="72" t="s">
        <v>154</v>
      </c>
      <c r="C43" s="53" t="s">
        <v>76</v>
      </c>
      <c r="D43" s="35">
        <f>IF(OR(E42="NA",E42="NC"),"NA",T50)</f>
        <v>0</v>
      </c>
      <c r="E43" s="79"/>
      <c r="F43" s="79"/>
      <c r="G43" s="71"/>
      <c r="H43" s="61" t="str">
        <f t="shared" si="3"/>
        <v/>
      </c>
      <c r="I43" s="43">
        <f t="shared" si="4"/>
        <v>0</v>
      </c>
      <c r="J43" s="48">
        <f>'P02'!E43</f>
        <v>0</v>
      </c>
      <c r="K43" s="48">
        <f>'P03'!K43</f>
        <v>0</v>
      </c>
    </row>
    <row r="44" spans="1:11" ht="30" customHeight="1" x14ac:dyDescent="0.35">
      <c r="A44" s="57">
        <v>43</v>
      </c>
      <c r="B44" s="72" t="s">
        <v>155</v>
      </c>
      <c r="C44" s="53" t="s">
        <v>77</v>
      </c>
      <c r="D44" s="35">
        <f>IF(OR(E42="NA",E42="NC"),"NA",T51)</f>
        <v>0</v>
      </c>
      <c r="E44" s="79"/>
      <c r="F44" s="79"/>
      <c r="G44" s="71"/>
      <c r="H44" s="61" t="str">
        <f t="shared" si="3"/>
        <v/>
      </c>
      <c r="I44" s="43">
        <f t="shared" si="4"/>
        <v>0</v>
      </c>
      <c r="J44" s="48">
        <f>'P02'!E44</f>
        <v>0</v>
      </c>
      <c r="K44" s="48">
        <f>'P03'!K44</f>
        <v>0</v>
      </c>
    </row>
    <row r="45" spans="1:11" ht="30" customHeight="1" x14ac:dyDescent="0.35">
      <c r="A45" s="57">
        <v>44</v>
      </c>
      <c r="B45" s="72" t="s">
        <v>156</v>
      </c>
      <c r="C45" s="53" t="s">
        <v>78</v>
      </c>
      <c r="D45" s="35"/>
      <c r="E45" s="79"/>
      <c r="F45" s="79"/>
      <c r="G45" s="71"/>
      <c r="H45" s="61" t="str">
        <f t="shared" si="3"/>
        <v/>
      </c>
      <c r="I45" s="43">
        <f t="shared" si="4"/>
        <v>0</v>
      </c>
      <c r="J45" s="48">
        <f>'P02'!E45</f>
        <v>0</v>
      </c>
      <c r="K45" s="48">
        <f>'P03'!K45</f>
        <v>0</v>
      </c>
    </row>
    <row r="46" spans="1:11" ht="30" customHeight="1" x14ac:dyDescent="0.35">
      <c r="A46" s="57">
        <v>45</v>
      </c>
      <c r="B46" s="72" t="s">
        <v>157</v>
      </c>
      <c r="C46" s="53" t="s">
        <v>79</v>
      </c>
      <c r="D46" s="35"/>
      <c r="E46" s="79"/>
      <c r="F46" s="79"/>
      <c r="G46" s="71"/>
      <c r="H46" s="61" t="str">
        <f t="shared" si="3"/>
        <v/>
      </c>
      <c r="I46" s="43">
        <f t="shared" si="4"/>
        <v>0</v>
      </c>
      <c r="J46" s="48">
        <f>'P02'!E46</f>
        <v>0</v>
      </c>
      <c r="K46" s="48">
        <f>'P03'!K46</f>
        <v>0</v>
      </c>
    </row>
    <row r="47" spans="1:11" ht="45" customHeight="1" x14ac:dyDescent="0.35">
      <c r="A47" s="57">
        <v>46</v>
      </c>
      <c r="B47" s="72" t="s">
        <v>110</v>
      </c>
      <c r="C47" s="69" t="s">
        <v>80</v>
      </c>
      <c r="D47" s="35"/>
      <c r="E47" s="79"/>
      <c r="F47" s="79"/>
      <c r="G47" s="71"/>
      <c r="H47" s="61" t="str">
        <f t="shared" si="3"/>
        <v/>
      </c>
      <c r="I47" s="43">
        <f>E47</f>
        <v>0</v>
      </c>
      <c r="J47" s="48">
        <f>'P02'!E47</f>
        <v>0</v>
      </c>
      <c r="K47" s="48">
        <f>'P03'!K47</f>
        <v>0</v>
      </c>
    </row>
    <row r="48" spans="1:11" ht="29" x14ac:dyDescent="0.35">
      <c r="A48" s="57">
        <v>47</v>
      </c>
      <c r="B48" s="72" t="s">
        <v>111</v>
      </c>
      <c r="C48" s="69" t="s">
        <v>81</v>
      </c>
      <c r="D48" s="40"/>
      <c r="E48" s="79"/>
      <c r="F48" s="79"/>
      <c r="G48" s="80"/>
      <c r="H48" s="61" t="str">
        <f t="shared" si="3"/>
        <v/>
      </c>
      <c r="I48" s="43">
        <f t="shared" ref="I48:I54" si="6">E48</f>
        <v>0</v>
      </c>
      <c r="J48" s="48">
        <f>'P02'!E48</f>
        <v>0</v>
      </c>
      <c r="K48" s="48">
        <f>'P03'!K48</f>
        <v>0</v>
      </c>
    </row>
    <row r="49" spans="1:11" ht="30" customHeight="1" x14ac:dyDescent="0.35">
      <c r="A49" s="57">
        <v>48</v>
      </c>
      <c r="B49" s="72" t="s">
        <v>112</v>
      </c>
      <c r="C49" s="69" t="s">
        <v>82</v>
      </c>
      <c r="D49" s="35"/>
      <c r="E49" s="79"/>
      <c r="F49" s="79"/>
      <c r="G49" s="80"/>
      <c r="H49" s="61" t="str">
        <f t="shared" si="3"/>
        <v/>
      </c>
      <c r="I49" s="43">
        <f t="shared" si="6"/>
        <v>0</v>
      </c>
      <c r="J49" s="48">
        <f>'P02'!E49</f>
        <v>0</v>
      </c>
      <c r="K49" s="48">
        <f>'P03'!K49</f>
        <v>0</v>
      </c>
    </row>
    <row r="50" spans="1:11" ht="29" x14ac:dyDescent="0.35">
      <c r="A50" s="57">
        <v>49</v>
      </c>
      <c r="B50" s="72" t="s">
        <v>113</v>
      </c>
      <c r="C50" s="69" t="s">
        <v>83</v>
      </c>
      <c r="D50" s="35"/>
      <c r="E50" s="79"/>
      <c r="F50" s="79"/>
      <c r="G50" s="80"/>
      <c r="H50" s="61" t="str">
        <f t="shared" si="3"/>
        <v/>
      </c>
      <c r="I50" s="43">
        <f t="shared" si="6"/>
        <v>0</v>
      </c>
      <c r="J50" s="48">
        <f>'P02'!E50</f>
        <v>0</v>
      </c>
      <c r="K50" s="48">
        <f>'P03'!K50</f>
        <v>0</v>
      </c>
    </row>
    <row r="51" spans="1:11" ht="30" customHeight="1" x14ac:dyDescent="0.35">
      <c r="A51" s="57">
        <v>50</v>
      </c>
      <c r="B51" s="72" t="s">
        <v>114</v>
      </c>
      <c r="C51" s="69" t="s">
        <v>84</v>
      </c>
      <c r="D51" s="35"/>
      <c r="E51" s="79"/>
      <c r="F51" s="79"/>
      <c r="G51" s="71"/>
      <c r="H51" s="61" t="str">
        <f t="shared" si="3"/>
        <v/>
      </c>
      <c r="I51" s="43">
        <f t="shared" si="6"/>
        <v>0</v>
      </c>
      <c r="J51" s="48">
        <f>'P02'!E51</f>
        <v>0</v>
      </c>
      <c r="K51" s="48">
        <f>'P03'!K51</f>
        <v>0</v>
      </c>
    </row>
    <row r="52" spans="1:11" ht="30" customHeight="1" x14ac:dyDescent="0.35">
      <c r="A52" s="57">
        <v>51</v>
      </c>
      <c r="B52" s="72" t="s">
        <v>158</v>
      </c>
      <c r="C52" s="54" t="s">
        <v>85</v>
      </c>
      <c r="D52" s="35"/>
      <c r="E52" s="79"/>
      <c r="F52" s="79"/>
      <c r="G52" s="71"/>
      <c r="H52" s="61" t="str">
        <f t="shared" si="3"/>
        <v/>
      </c>
      <c r="I52" s="43">
        <f t="shared" si="6"/>
        <v>0</v>
      </c>
      <c r="J52" s="48">
        <f>'P02'!E52</f>
        <v>0</v>
      </c>
      <c r="K52" s="48">
        <f>'P03'!K52</f>
        <v>0</v>
      </c>
    </row>
    <row r="53" spans="1:11" ht="30" customHeight="1" x14ac:dyDescent="0.35">
      <c r="A53" s="57">
        <v>52</v>
      </c>
      <c r="B53" s="72" t="s">
        <v>159</v>
      </c>
      <c r="C53" s="54" t="s">
        <v>86</v>
      </c>
      <c r="D53" s="35"/>
      <c r="E53" s="79"/>
      <c r="F53" s="79"/>
      <c r="G53" s="71"/>
      <c r="H53" s="61" t="str">
        <f t="shared" si="3"/>
        <v/>
      </c>
      <c r="I53" s="43">
        <f t="shared" si="6"/>
        <v>0</v>
      </c>
      <c r="J53" s="48">
        <f>'P02'!E53</f>
        <v>0</v>
      </c>
      <c r="K53" s="48">
        <f>'P03'!K53</f>
        <v>0</v>
      </c>
    </row>
    <row r="54" spans="1:11" ht="30" customHeight="1" x14ac:dyDescent="0.35">
      <c r="A54" s="43">
        <v>53</v>
      </c>
      <c r="B54" s="72" t="s">
        <v>160</v>
      </c>
      <c r="C54" s="54" t="s">
        <v>87</v>
      </c>
      <c r="D54" s="35"/>
      <c r="E54" s="79"/>
      <c r="F54" s="79"/>
      <c r="G54" s="71"/>
      <c r="H54" s="61" t="str">
        <f t="shared" si="3"/>
        <v/>
      </c>
      <c r="I54" s="43">
        <f t="shared" si="6"/>
        <v>0</v>
      </c>
      <c r="J54" s="48">
        <f>'P02'!E54</f>
        <v>0</v>
      </c>
      <c r="K54" s="48">
        <f>'P03'!K54</f>
        <v>0</v>
      </c>
    </row>
  </sheetData>
  <autoFilter ref="A1:K1" xr:uid="{E08E7402-850D-47EF-A3D5-79EB035C8308}">
    <sortState xmlns:xlrd2="http://schemas.microsoft.com/office/spreadsheetml/2017/richdata2" ref="A2:K54">
      <sortCondition ref="A1"/>
    </sortState>
  </autoFilter>
  <conditionalFormatting sqref="A55:A1048576 A1:A53">
    <cfRule type="duplicateValues" dxfId="27" priority="136"/>
  </conditionalFormatting>
  <conditionalFormatting sqref="D1:D1048576">
    <cfRule type="cellIs" dxfId="26" priority="14" operator="equal">
      <formula>"NA"</formula>
    </cfRule>
  </conditionalFormatting>
  <conditionalFormatting sqref="E1 D48 E55:E1048576">
    <cfRule type="cellIs" dxfId="25" priority="13" operator="equal">
      <formula>"NT"</formula>
    </cfRule>
  </conditionalFormatting>
  <conditionalFormatting sqref="E2:E54">
    <cfRule type="cellIs" dxfId="24" priority="1" operator="equal">
      <formula>"NT"</formula>
    </cfRule>
  </conditionalFormatting>
  <conditionalFormatting sqref="H1">
    <cfRule type="duplicateValues" dxfId="23" priority="34"/>
  </conditionalFormatting>
  <conditionalFormatting sqref="H2:H54">
    <cfRule type="notContainsBlanks" dxfId="22" priority="35">
      <formula>LEN(TRIM(H2))&gt;0</formula>
    </cfRule>
  </conditionalFormatting>
  <conditionalFormatting sqref="H2:H1048576">
    <cfRule type="notContainsBlanks" priority="36">
      <formula>LEN(TRIM(H2))&gt;0</formula>
    </cfRule>
  </conditionalFormatting>
  <conditionalFormatting sqref="I1:K1">
    <cfRule type="duplicateValues" dxfId="21" priority="137"/>
  </conditionalFormatting>
  <conditionalFormatting sqref="I1:K1048576">
    <cfRule type="cellIs" dxfId="20" priority="29" operator="equal">
      <formula>"NC"</formula>
    </cfRule>
  </conditionalFormatting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2541A-6859-4F71-99D3-89B5E05440FC}">
  <dimension ref="A1:K54"/>
  <sheetViews>
    <sheetView zoomScale="70" zoomScaleNormal="70" workbookViewId="0">
      <pane ySplit="1" topLeftCell="A19" activePane="bottomLeft" state="frozen"/>
      <selection pane="bottomLeft" activeCell="I24" sqref="I24:K25"/>
    </sheetView>
  </sheetViews>
  <sheetFormatPr defaultColWidth="8.84375" defaultRowHeight="15.5" x14ac:dyDescent="0.35"/>
  <cols>
    <col min="1" max="1" width="6" style="43" customWidth="1"/>
    <col min="2" max="2" width="6" style="43" bestFit="1" customWidth="1"/>
    <col min="3" max="3" width="54" style="45" customWidth="1"/>
    <col min="4" max="4" width="8.84375" style="43" customWidth="1"/>
    <col min="5" max="5" width="5.23046875" style="43" customWidth="1"/>
    <col min="6" max="6" width="5" style="43" bestFit="1" customWidth="1"/>
    <col min="7" max="7" width="46" style="39" customWidth="1"/>
    <col min="8" max="8" width="22.69140625" style="47" customWidth="1"/>
    <col min="9" max="9" width="5.84375" style="43" customWidth="1"/>
    <col min="10" max="10" width="12.69140625" style="43" bestFit="1" customWidth="1"/>
    <col min="11" max="11" width="4.765625" style="43" customWidth="1"/>
    <col min="12" max="16384" width="8.84375" style="38"/>
  </cols>
  <sheetData>
    <row r="1" spans="1:11" ht="101.25" customHeight="1" x14ac:dyDescent="0.35">
      <c r="A1" s="42" t="s">
        <v>103</v>
      </c>
      <c r="B1" s="41" t="s">
        <v>34</v>
      </c>
      <c r="C1" s="44" t="s">
        <v>35</v>
      </c>
      <c r="D1" s="64" t="s">
        <v>104</v>
      </c>
      <c r="E1" s="62" t="s">
        <v>89</v>
      </c>
      <c r="F1" s="62" t="s">
        <v>101</v>
      </c>
      <c r="G1" s="63" t="s">
        <v>102</v>
      </c>
      <c r="H1" s="78" t="s">
        <v>105</v>
      </c>
      <c r="I1" s="51" t="s">
        <v>6</v>
      </c>
      <c r="J1" s="78" t="str">
        <f>"P02 " &amp; COUNTA(E2:E54) &amp;"/"&amp;COUNTA(C2:C54)</f>
        <v>P02 0/53</v>
      </c>
      <c r="K1" s="78" t="s">
        <v>8</v>
      </c>
    </row>
    <row r="2" spans="1:11" ht="42.75" customHeight="1" x14ac:dyDescent="0.35">
      <c r="A2" s="57">
        <v>1</v>
      </c>
      <c r="B2" s="72" t="s">
        <v>115</v>
      </c>
      <c r="C2" s="55" t="s">
        <v>36</v>
      </c>
      <c r="D2" s="35"/>
      <c r="E2" s="79"/>
      <c r="F2" s="79"/>
      <c r="G2" s="71"/>
      <c r="H2" s="47" t="str">
        <f t="shared" ref="H2" si="0">IF(AND(E2="NC",G2=""),"Il manque un message d'erreur",
   IF(AND(E2&lt;&gt;"NC",G2&lt;&gt;""),"Il faut seulement écrire un message d'erreur pour NC",""))</f>
        <v/>
      </c>
      <c r="I2" s="43">
        <f>'P01'!E2</f>
        <v>0</v>
      </c>
      <c r="J2" s="48">
        <f>E2</f>
        <v>0</v>
      </c>
      <c r="K2" s="48">
        <f>'P03'!E2</f>
        <v>0</v>
      </c>
    </row>
    <row r="3" spans="1:11" ht="29" x14ac:dyDescent="0.35">
      <c r="A3" s="57">
        <v>2</v>
      </c>
      <c r="B3" s="72" t="s">
        <v>116</v>
      </c>
      <c r="C3" s="69" t="s">
        <v>37</v>
      </c>
      <c r="D3" s="35"/>
      <c r="E3" s="79"/>
      <c r="F3" s="79"/>
      <c r="G3" s="71"/>
      <c r="H3" s="47" t="str">
        <f t="shared" ref="H3:H54" si="1">IF(AND(E3="NC",G3=""),"Il manque un message d'erreur",
   IF(AND(E3&lt;&gt;"NC",G3&lt;&gt;""),"Il faut seulement écrire un message d'erreur pour NC",""))</f>
        <v/>
      </c>
      <c r="I3" s="43">
        <f>'P01'!E3</f>
        <v>0</v>
      </c>
      <c r="J3" s="48">
        <f t="shared" ref="J3:J54" si="2">E3</f>
        <v>0</v>
      </c>
      <c r="K3" s="48">
        <f>'P03'!E3</f>
        <v>0</v>
      </c>
    </row>
    <row r="4" spans="1:11" ht="29" x14ac:dyDescent="0.35">
      <c r="A4" s="57">
        <v>3</v>
      </c>
      <c r="B4" s="72" t="s">
        <v>117</v>
      </c>
      <c r="C4" s="55" t="s">
        <v>38</v>
      </c>
      <c r="D4" s="35">
        <f>IF(OR(E2="NA",E2="NC"),"NA",T3)</f>
        <v>0</v>
      </c>
      <c r="E4" s="79"/>
      <c r="F4" s="79"/>
      <c r="G4" s="71"/>
      <c r="H4" s="47" t="str">
        <f t="shared" si="1"/>
        <v/>
      </c>
      <c r="I4" s="43">
        <f>'P01'!E4</f>
        <v>0</v>
      </c>
      <c r="J4" s="48">
        <f t="shared" si="2"/>
        <v>0</v>
      </c>
      <c r="K4" s="48">
        <f>'P03'!E4</f>
        <v>0</v>
      </c>
    </row>
    <row r="5" spans="1:11" ht="43.5" x14ac:dyDescent="0.35">
      <c r="A5" s="57">
        <v>4</v>
      </c>
      <c r="B5" s="72" t="s">
        <v>118</v>
      </c>
      <c r="C5" s="55" t="s">
        <v>39</v>
      </c>
      <c r="D5" s="35"/>
      <c r="E5" s="79"/>
      <c r="F5" s="79"/>
      <c r="G5" s="80"/>
      <c r="H5" s="47" t="str">
        <f t="shared" si="1"/>
        <v/>
      </c>
      <c r="I5" s="43">
        <f>'P01'!E5</f>
        <v>0</v>
      </c>
      <c r="J5" s="48">
        <f t="shared" si="2"/>
        <v>0</v>
      </c>
      <c r="K5" s="48">
        <f>'P03'!E5</f>
        <v>0</v>
      </c>
    </row>
    <row r="6" spans="1:11" ht="29" x14ac:dyDescent="0.35">
      <c r="A6" s="57">
        <v>5</v>
      </c>
      <c r="B6" s="72" t="s">
        <v>119</v>
      </c>
      <c r="C6" s="55" t="s">
        <v>40</v>
      </c>
      <c r="D6" s="35"/>
      <c r="E6" s="79"/>
      <c r="F6" s="79"/>
      <c r="G6" s="80"/>
      <c r="H6" s="47" t="str">
        <f t="shared" si="1"/>
        <v/>
      </c>
      <c r="I6" s="43">
        <f>'P01'!E6</f>
        <v>0</v>
      </c>
      <c r="J6" s="48">
        <f t="shared" si="2"/>
        <v>0</v>
      </c>
      <c r="K6" s="48">
        <f>'P03'!E6</f>
        <v>0</v>
      </c>
    </row>
    <row r="7" spans="1:11" ht="29" x14ac:dyDescent="0.35">
      <c r="A7" s="57">
        <v>6</v>
      </c>
      <c r="B7" s="72" t="s">
        <v>120</v>
      </c>
      <c r="C7" s="55" t="s">
        <v>41</v>
      </c>
      <c r="D7" s="35">
        <f>IF(OR(E2="NA",E2="NC"),"NA",T6)</f>
        <v>0</v>
      </c>
      <c r="E7" s="79"/>
      <c r="F7" s="79"/>
      <c r="G7" s="80"/>
      <c r="H7" s="47" t="str">
        <f t="shared" si="1"/>
        <v/>
      </c>
      <c r="I7" s="43">
        <f>'P01'!E7</f>
        <v>0</v>
      </c>
      <c r="J7" s="48">
        <f t="shared" si="2"/>
        <v>0</v>
      </c>
      <c r="K7" s="48">
        <f>'P03'!E7</f>
        <v>0</v>
      </c>
    </row>
    <row r="8" spans="1:11" ht="29" x14ac:dyDescent="0.35">
      <c r="A8" s="57">
        <v>7</v>
      </c>
      <c r="B8" s="72" t="s">
        <v>121</v>
      </c>
      <c r="C8" s="56" t="s">
        <v>42</v>
      </c>
      <c r="D8" s="35">
        <f>IF(OR(E2="NA",E2="NC"),"NA",T7)</f>
        <v>0</v>
      </c>
      <c r="E8" s="79"/>
      <c r="F8" s="79"/>
      <c r="G8" s="71"/>
      <c r="H8" s="47" t="str">
        <f t="shared" si="1"/>
        <v/>
      </c>
      <c r="I8" s="43">
        <f>'P01'!E8</f>
        <v>0</v>
      </c>
      <c r="J8" s="48">
        <f t="shared" si="2"/>
        <v>0</v>
      </c>
      <c r="K8" s="48">
        <f>'P03'!E8</f>
        <v>0</v>
      </c>
    </row>
    <row r="9" spans="1:11" x14ac:dyDescent="0.35">
      <c r="A9" s="57">
        <v>8</v>
      </c>
      <c r="B9" s="72">
        <v>2.1</v>
      </c>
      <c r="C9" s="53" t="s">
        <v>43</v>
      </c>
      <c r="D9" s="35"/>
      <c r="E9" s="79"/>
      <c r="F9" s="79"/>
      <c r="G9" s="71"/>
      <c r="H9" s="47" t="str">
        <f t="shared" si="1"/>
        <v/>
      </c>
      <c r="I9" s="43">
        <f>'P01'!E9</f>
        <v>0</v>
      </c>
      <c r="J9" s="48">
        <f t="shared" si="2"/>
        <v>0</v>
      </c>
      <c r="K9" s="48">
        <f>'P03'!E9</f>
        <v>0</v>
      </c>
    </row>
    <row r="10" spans="1:11" ht="29" x14ac:dyDescent="0.35">
      <c r="A10" s="57">
        <v>9</v>
      </c>
      <c r="B10" s="72" t="s">
        <v>122</v>
      </c>
      <c r="C10" s="53" t="s">
        <v>44</v>
      </c>
      <c r="D10" s="35"/>
      <c r="E10" s="79"/>
      <c r="F10" s="79"/>
      <c r="G10" s="80"/>
      <c r="H10" s="47" t="str">
        <f t="shared" si="1"/>
        <v/>
      </c>
      <c r="I10" s="43">
        <f>'P01'!E10</f>
        <v>0</v>
      </c>
      <c r="J10" s="48">
        <f t="shared" si="2"/>
        <v>0</v>
      </c>
      <c r="K10" s="48">
        <f>'P03'!E10</f>
        <v>0</v>
      </c>
    </row>
    <row r="11" spans="1:11" ht="29" x14ac:dyDescent="0.35">
      <c r="A11" s="57">
        <v>10</v>
      </c>
      <c r="B11" s="72" t="s">
        <v>123</v>
      </c>
      <c r="C11" s="53" t="s">
        <v>45</v>
      </c>
      <c r="D11" s="35"/>
      <c r="E11" s="79"/>
      <c r="F11" s="79"/>
      <c r="G11" s="80"/>
      <c r="H11" s="47" t="str">
        <f t="shared" si="1"/>
        <v/>
      </c>
      <c r="I11" s="43">
        <f>'P01'!E11</f>
        <v>0</v>
      </c>
      <c r="J11" s="48">
        <f t="shared" si="2"/>
        <v>0</v>
      </c>
      <c r="K11" s="48">
        <f>'P03'!E11</f>
        <v>0</v>
      </c>
    </row>
    <row r="12" spans="1:11" ht="29" x14ac:dyDescent="0.35">
      <c r="A12" s="57">
        <v>11</v>
      </c>
      <c r="B12" s="72" t="s">
        <v>124</v>
      </c>
      <c r="C12" s="53" t="s">
        <v>46</v>
      </c>
      <c r="D12" s="35"/>
      <c r="E12" s="79"/>
      <c r="F12" s="79"/>
      <c r="G12" s="71"/>
      <c r="H12" s="47" t="str">
        <f t="shared" si="1"/>
        <v/>
      </c>
      <c r="I12" s="43">
        <f>'P01'!E12</f>
        <v>0</v>
      </c>
      <c r="J12" s="48">
        <f t="shared" si="2"/>
        <v>0</v>
      </c>
      <c r="K12" s="48">
        <f>'P03'!E12</f>
        <v>0</v>
      </c>
    </row>
    <row r="13" spans="1:11" ht="43.5" x14ac:dyDescent="0.35">
      <c r="A13" s="57">
        <v>12</v>
      </c>
      <c r="B13" s="72" t="s">
        <v>125</v>
      </c>
      <c r="C13" s="53" t="s">
        <v>47</v>
      </c>
      <c r="D13" s="35">
        <f>IF(OR(E12="NA",E12="NC"),"NA",T13)</f>
        <v>0</v>
      </c>
      <c r="E13" s="79"/>
      <c r="F13" s="79"/>
      <c r="G13" s="71"/>
      <c r="H13" s="47" t="str">
        <f t="shared" si="1"/>
        <v/>
      </c>
      <c r="I13" s="43">
        <f>'P01'!E13</f>
        <v>0</v>
      </c>
      <c r="J13" s="48">
        <f t="shared" si="2"/>
        <v>0</v>
      </c>
      <c r="K13" s="48">
        <f>'P03'!E13</f>
        <v>0</v>
      </c>
    </row>
    <row r="14" spans="1:11" ht="29" x14ac:dyDescent="0.35">
      <c r="A14" s="57">
        <v>13</v>
      </c>
      <c r="B14" s="72" t="s">
        <v>126</v>
      </c>
      <c r="C14" s="53" t="s">
        <v>48</v>
      </c>
      <c r="D14" s="35">
        <f>IF(OR(E12="NA",E12="NC"),"NA",T14)</f>
        <v>0</v>
      </c>
      <c r="E14" s="79"/>
      <c r="F14" s="79"/>
      <c r="G14" s="71"/>
      <c r="H14" s="47" t="str">
        <f t="shared" si="1"/>
        <v/>
      </c>
      <c r="I14" s="43">
        <f>'P01'!E14</f>
        <v>0</v>
      </c>
      <c r="J14" s="48">
        <f t="shared" si="2"/>
        <v>0</v>
      </c>
      <c r="K14" s="48">
        <f>'P03'!E14</f>
        <v>0</v>
      </c>
    </row>
    <row r="15" spans="1:11" ht="29" x14ac:dyDescent="0.35">
      <c r="A15" s="57">
        <v>14</v>
      </c>
      <c r="B15" s="72" t="s">
        <v>127</v>
      </c>
      <c r="C15" s="53" t="s">
        <v>49</v>
      </c>
      <c r="D15" s="35">
        <f>IF(OR(E12="NA",E12="NC"),"NA",T15)</f>
        <v>0</v>
      </c>
      <c r="E15" s="79"/>
      <c r="F15" s="79"/>
      <c r="G15" s="71"/>
      <c r="H15" s="47" t="str">
        <f t="shared" si="1"/>
        <v/>
      </c>
      <c r="I15" s="43">
        <f>'P01'!E15</f>
        <v>0</v>
      </c>
      <c r="J15" s="48">
        <f t="shared" si="2"/>
        <v>0</v>
      </c>
      <c r="K15" s="48">
        <f>'P03'!E15</f>
        <v>0</v>
      </c>
    </row>
    <row r="16" spans="1:11" ht="29" x14ac:dyDescent="0.35">
      <c r="A16" s="57">
        <v>15</v>
      </c>
      <c r="B16" s="72" t="s">
        <v>128</v>
      </c>
      <c r="C16" s="53" t="s">
        <v>50</v>
      </c>
      <c r="D16" s="35"/>
      <c r="E16" s="79"/>
      <c r="F16" s="79"/>
      <c r="G16" s="71"/>
      <c r="H16" s="47" t="str">
        <f t="shared" si="1"/>
        <v/>
      </c>
      <c r="I16" s="43">
        <f>'P01'!E16</f>
        <v>0</v>
      </c>
      <c r="J16" s="48">
        <f t="shared" si="2"/>
        <v>0</v>
      </c>
      <c r="K16" s="48">
        <f>'P03'!E16</f>
        <v>0</v>
      </c>
    </row>
    <row r="17" spans="1:11" ht="29" x14ac:dyDescent="0.35">
      <c r="A17" s="57">
        <v>16</v>
      </c>
      <c r="B17" s="72" t="s">
        <v>129</v>
      </c>
      <c r="C17" s="53" t="s">
        <v>51</v>
      </c>
      <c r="D17" s="35">
        <f>IF(OR(E16="NA",E16="NC"),"NA",T21)</f>
        <v>0</v>
      </c>
      <c r="E17" s="79"/>
      <c r="F17" s="79"/>
      <c r="G17" s="71"/>
      <c r="H17" s="47" t="str">
        <f t="shared" si="1"/>
        <v/>
      </c>
      <c r="I17" s="43">
        <f>'P01'!E17</f>
        <v>0</v>
      </c>
      <c r="J17" s="48">
        <f t="shared" si="2"/>
        <v>0</v>
      </c>
      <c r="K17" s="48">
        <f>'P03'!E17</f>
        <v>0</v>
      </c>
    </row>
    <row r="18" spans="1:11" ht="29" x14ac:dyDescent="0.35">
      <c r="A18" s="57">
        <v>17</v>
      </c>
      <c r="B18" s="72" t="s">
        <v>130</v>
      </c>
      <c r="C18" s="53" t="s">
        <v>52</v>
      </c>
      <c r="D18" s="35"/>
      <c r="E18" s="79"/>
      <c r="F18" s="79"/>
      <c r="G18" s="71"/>
      <c r="H18" s="47" t="str">
        <f t="shared" si="1"/>
        <v/>
      </c>
      <c r="I18" s="43">
        <f>'P01'!E18</f>
        <v>0</v>
      </c>
      <c r="J18" s="48">
        <f t="shared" si="2"/>
        <v>0</v>
      </c>
      <c r="K18" s="48">
        <f>'P03'!E18</f>
        <v>0</v>
      </c>
    </row>
    <row r="19" spans="1:11" ht="29" x14ac:dyDescent="0.35">
      <c r="A19" s="57">
        <v>18</v>
      </c>
      <c r="B19" s="72" t="s">
        <v>131</v>
      </c>
      <c r="C19" s="53" t="s">
        <v>53</v>
      </c>
      <c r="D19" s="35">
        <f>IF(OR(E12="NA",E12="NC"),"NA",T16)</f>
        <v>0</v>
      </c>
      <c r="E19" s="79"/>
      <c r="F19" s="79"/>
      <c r="G19" s="71"/>
      <c r="H19" s="47" t="str">
        <f t="shared" si="1"/>
        <v/>
      </c>
      <c r="I19" s="43">
        <f>'P01'!E19</f>
        <v>0</v>
      </c>
      <c r="J19" s="48">
        <f t="shared" si="2"/>
        <v>0</v>
      </c>
      <c r="K19" s="48">
        <f>'P03'!E19</f>
        <v>0</v>
      </c>
    </row>
    <row r="20" spans="1:11" ht="29" x14ac:dyDescent="0.35">
      <c r="A20" s="57">
        <v>19</v>
      </c>
      <c r="B20" s="72" t="s">
        <v>132</v>
      </c>
      <c r="C20" s="53" t="s">
        <v>54</v>
      </c>
      <c r="D20" s="35"/>
      <c r="E20" s="79"/>
      <c r="F20" s="79"/>
      <c r="G20" s="80"/>
      <c r="H20" s="47" t="str">
        <f t="shared" si="1"/>
        <v/>
      </c>
      <c r="I20" s="43">
        <f>'P01'!E20</f>
        <v>0</v>
      </c>
      <c r="J20" s="48">
        <f t="shared" si="2"/>
        <v>0</v>
      </c>
      <c r="K20" s="48">
        <f>'P03'!E20</f>
        <v>0</v>
      </c>
    </row>
    <row r="21" spans="1:11" ht="43.5" x14ac:dyDescent="0.35">
      <c r="A21" s="57">
        <v>20</v>
      </c>
      <c r="B21" s="72" t="s">
        <v>133</v>
      </c>
      <c r="C21" s="53" t="s">
        <v>55</v>
      </c>
      <c r="D21" s="35">
        <f>IF(OR(E20="NA",E20="NC"),"NA",T27)</f>
        <v>0</v>
      </c>
      <c r="E21" s="79"/>
      <c r="F21" s="79"/>
      <c r="G21" s="71"/>
      <c r="H21" s="47" t="str">
        <f t="shared" si="1"/>
        <v/>
      </c>
      <c r="I21" s="43">
        <f>'P01'!E21</f>
        <v>0</v>
      </c>
      <c r="J21" s="48">
        <f t="shared" si="2"/>
        <v>0</v>
      </c>
      <c r="K21" s="48">
        <f>'P03'!E21</f>
        <v>0</v>
      </c>
    </row>
    <row r="22" spans="1:11" x14ac:dyDescent="0.35">
      <c r="A22" s="57">
        <v>21</v>
      </c>
      <c r="B22" s="72" t="s">
        <v>134</v>
      </c>
      <c r="C22" s="53" t="s">
        <v>56</v>
      </c>
      <c r="D22" s="35"/>
      <c r="E22" s="79"/>
      <c r="F22" s="79"/>
      <c r="G22" s="80"/>
      <c r="H22" s="47" t="str">
        <f t="shared" si="1"/>
        <v/>
      </c>
      <c r="I22" s="43">
        <f>'P01'!E22</f>
        <v>0</v>
      </c>
      <c r="J22" s="48">
        <f t="shared" si="2"/>
        <v>0</v>
      </c>
      <c r="K22" s="48">
        <f>'P03'!E22</f>
        <v>0</v>
      </c>
    </row>
    <row r="23" spans="1:11" x14ac:dyDescent="0.35">
      <c r="A23" s="57">
        <v>22</v>
      </c>
      <c r="B23" s="72" t="s">
        <v>135</v>
      </c>
      <c r="C23" s="53" t="s">
        <v>57</v>
      </c>
      <c r="D23" s="35"/>
      <c r="E23" s="79"/>
      <c r="F23" s="79"/>
      <c r="G23" s="80"/>
      <c r="H23" s="47" t="str">
        <f t="shared" si="1"/>
        <v/>
      </c>
      <c r="I23" s="43">
        <f>'P01'!E23</f>
        <v>0</v>
      </c>
      <c r="J23" s="48">
        <f t="shared" si="2"/>
        <v>0</v>
      </c>
      <c r="K23" s="48">
        <f>'P03'!E23</f>
        <v>0</v>
      </c>
    </row>
    <row r="24" spans="1:11" ht="29" x14ac:dyDescent="0.35">
      <c r="A24" s="57">
        <v>23</v>
      </c>
      <c r="B24" s="72" t="s">
        <v>136</v>
      </c>
      <c r="C24" s="53" t="s">
        <v>58</v>
      </c>
      <c r="D24" s="35"/>
      <c r="E24" s="79"/>
      <c r="F24" s="79"/>
      <c r="G24" s="80"/>
      <c r="H24" s="47" t="str">
        <f t="shared" si="1"/>
        <v/>
      </c>
      <c r="I24" s="43">
        <f>'P01'!E24</f>
        <v>0</v>
      </c>
      <c r="J24" s="48">
        <f t="shared" si="2"/>
        <v>0</v>
      </c>
      <c r="K24" s="48">
        <f>'P03'!E24</f>
        <v>0</v>
      </c>
    </row>
    <row r="25" spans="1:11" s="60" customFormat="1" x14ac:dyDescent="0.35">
      <c r="A25" s="57">
        <v>24</v>
      </c>
      <c r="B25" s="72">
        <v>8.1</v>
      </c>
      <c r="C25" s="53" t="s">
        <v>162</v>
      </c>
      <c r="D25" s="35"/>
      <c r="E25" s="79"/>
      <c r="F25" s="79"/>
      <c r="G25" s="80"/>
      <c r="H25" s="47"/>
      <c r="I25" s="43">
        <f>'P01'!E25</f>
        <v>0</v>
      </c>
      <c r="J25" s="48">
        <f t="shared" ref="J25" si="3">E25</f>
        <v>0</v>
      </c>
      <c r="K25" s="48">
        <f>'P03'!E25</f>
        <v>0</v>
      </c>
    </row>
    <row r="26" spans="1:11" ht="29" x14ac:dyDescent="0.35">
      <c r="A26" s="57">
        <v>25</v>
      </c>
      <c r="B26" s="72" t="s">
        <v>137</v>
      </c>
      <c r="C26" s="53" t="s">
        <v>59</v>
      </c>
      <c r="D26" s="35"/>
      <c r="E26" s="79"/>
      <c r="F26" s="79"/>
      <c r="G26" s="71"/>
      <c r="H26" s="47" t="str">
        <f t="shared" si="1"/>
        <v/>
      </c>
      <c r="I26" s="43">
        <f>'P01'!E26</f>
        <v>0</v>
      </c>
      <c r="J26" s="48">
        <f t="shared" si="2"/>
        <v>0</v>
      </c>
      <c r="K26" s="48">
        <f>'P03'!E26</f>
        <v>0</v>
      </c>
    </row>
    <row r="27" spans="1:11" x14ac:dyDescent="0.35">
      <c r="A27" s="57">
        <v>26</v>
      </c>
      <c r="B27" s="72" t="s">
        <v>138</v>
      </c>
      <c r="C27" s="53" t="s">
        <v>60</v>
      </c>
      <c r="D27" s="35"/>
      <c r="E27" s="79"/>
      <c r="F27" s="79"/>
      <c r="G27" s="71"/>
      <c r="H27" s="47" t="str">
        <f t="shared" si="1"/>
        <v/>
      </c>
      <c r="I27" s="43">
        <f>'P01'!E27</f>
        <v>0</v>
      </c>
      <c r="J27" s="48">
        <f t="shared" si="2"/>
        <v>0</v>
      </c>
      <c r="K27" s="48">
        <f>'P03'!E27</f>
        <v>0</v>
      </c>
    </row>
    <row r="28" spans="1:11" ht="29" x14ac:dyDescent="0.35">
      <c r="A28" s="57">
        <v>27</v>
      </c>
      <c r="B28" s="72" t="s">
        <v>139</v>
      </c>
      <c r="C28" s="53" t="s">
        <v>61</v>
      </c>
      <c r="D28" s="35"/>
      <c r="E28" s="79"/>
      <c r="F28" s="79"/>
      <c r="G28" s="71"/>
      <c r="H28" s="47" t="str">
        <f t="shared" si="1"/>
        <v/>
      </c>
      <c r="I28" s="43">
        <f>'P01'!E28</f>
        <v>0</v>
      </c>
      <c r="J28" s="48">
        <f t="shared" si="2"/>
        <v>0</v>
      </c>
      <c r="K28" s="48">
        <f>'P03'!E28</f>
        <v>0</v>
      </c>
    </row>
    <row r="29" spans="1:11" x14ac:dyDescent="0.35">
      <c r="A29" s="57">
        <v>28</v>
      </c>
      <c r="B29" s="72" t="s">
        <v>140</v>
      </c>
      <c r="C29" s="53" t="s">
        <v>62</v>
      </c>
      <c r="D29" s="35">
        <f>IF(E28="NA","NA",U36)</f>
        <v>0</v>
      </c>
      <c r="E29" s="79"/>
      <c r="F29" s="79"/>
      <c r="G29" s="71"/>
      <c r="H29" s="47" t="str">
        <f t="shared" si="1"/>
        <v/>
      </c>
      <c r="I29" s="43">
        <f>'P01'!E29</f>
        <v>0</v>
      </c>
      <c r="J29" s="48">
        <f t="shared" si="2"/>
        <v>0</v>
      </c>
      <c r="K29" s="48">
        <f>'P03'!E29</f>
        <v>0</v>
      </c>
    </row>
    <row r="30" spans="1:11" x14ac:dyDescent="0.35">
      <c r="A30" s="57">
        <v>29</v>
      </c>
      <c r="B30" s="72" t="s">
        <v>141</v>
      </c>
      <c r="C30" s="53" t="s">
        <v>63</v>
      </c>
      <c r="D30" s="35"/>
      <c r="E30" s="79"/>
      <c r="F30" s="79"/>
      <c r="G30" s="71"/>
      <c r="H30" s="47" t="str">
        <f t="shared" si="1"/>
        <v/>
      </c>
      <c r="I30" s="43">
        <f>'P01'!E30</f>
        <v>0</v>
      </c>
      <c r="J30" s="48">
        <f t="shared" si="2"/>
        <v>0</v>
      </c>
      <c r="K30" s="48">
        <f>'P03'!E30</f>
        <v>0</v>
      </c>
    </row>
    <row r="31" spans="1:11" ht="29" x14ac:dyDescent="0.35">
      <c r="A31" s="57">
        <v>30</v>
      </c>
      <c r="B31" s="72" t="s">
        <v>142</v>
      </c>
      <c r="C31" s="53" t="s">
        <v>64</v>
      </c>
      <c r="D31" s="35"/>
      <c r="E31" s="79"/>
      <c r="F31" s="79"/>
      <c r="G31" s="71"/>
      <c r="H31" s="47" t="str">
        <f t="shared" si="1"/>
        <v/>
      </c>
      <c r="I31" s="43">
        <f>'P01'!E31</f>
        <v>0</v>
      </c>
      <c r="J31" s="48">
        <f t="shared" si="2"/>
        <v>0</v>
      </c>
      <c r="K31" s="48">
        <f>'P03'!E31</f>
        <v>0</v>
      </c>
    </row>
    <row r="32" spans="1:11" ht="29" x14ac:dyDescent="0.35">
      <c r="A32" s="57">
        <v>31</v>
      </c>
      <c r="B32" s="72" t="s">
        <v>143</v>
      </c>
      <c r="C32" s="53" t="s">
        <v>65</v>
      </c>
      <c r="D32" s="35"/>
      <c r="E32" s="79"/>
      <c r="F32" s="79"/>
      <c r="G32" s="71"/>
      <c r="H32" s="47" t="str">
        <f t="shared" si="1"/>
        <v/>
      </c>
      <c r="I32" s="43">
        <f>'P01'!E32</f>
        <v>0</v>
      </c>
      <c r="J32" s="48">
        <f t="shared" si="2"/>
        <v>0</v>
      </c>
      <c r="K32" s="48">
        <f>'P03'!E32</f>
        <v>0</v>
      </c>
    </row>
    <row r="33" spans="1:11" ht="29" x14ac:dyDescent="0.35">
      <c r="A33" s="57">
        <v>32</v>
      </c>
      <c r="B33" s="72" t="s">
        <v>144</v>
      </c>
      <c r="C33" s="53" t="s">
        <v>66</v>
      </c>
      <c r="D33" s="35">
        <f>IF(OR(E32="NA",E32="NC"),"NA",T41)</f>
        <v>0</v>
      </c>
      <c r="E33" s="79"/>
      <c r="F33" s="79"/>
      <c r="G33" s="71"/>
      <c r="H33" s="47" t="str">
        <f t="shared" si="1"/>
        <v/>
      </c>
      <c r="I33" s="43">
        <f>'P01'!E33</f>
        <v>0</v>
      </c>
      <c r="J33" s="48">
        <f t="shared" si="2"/>
        <v>0</v>
      </c>
      <c r="K33" s="48">
        <f>'P03'!E33</f>
        <v>0</v>
      </c>
    </row>
    <row r="34" spans="1:11" ht="29" x14ac:dyDescent="0.35">
      <c r="A34" s="57">
        <v>33</v>
      </c>
      <c r="B34" s="72" t="s">
        <v>145</v>
      </c>
      <c r="C34" s="53" t="s">
        <v>67</v>
      </c>
      <c r="D34" s="35"/>
      <c r="E34" s="79"/>
      <c r="F34" s="79"/>
      <c r="G34" s="80"/>
      <c r="H34" s="47" t="str">
        <f t="shared" si="1"/>
        <v/>
      </c>
      <c r="I34" s="43">
        <f>'P01'!E34</f>
        <v>0</v>
      </c>
      <c r="J34" s="48">
        <f t="shared" si="2"/>
        <v>0</v>
      </c>
      <c r="K34" s="48">
        <f>'P03'!E34</f>
        <v>0</v>
      </c>
    </row>
    <row r="35" spans="1:11" ht="29" x14ac:dyDescent="0.35">
      <c r="A35" s="57">
        <v>34</v>
      </c>
      <c r="B35" s="72" t="s">
        <v>146</v>
      </c>
      <c r="C35" s="53" t="s">
        <v>68</v>
      </c>
      <c r="D35" s="35"/>
      <c r="E35" s="79"/>
      <c r="F35" s="79"/>
      <c r="G35" s="80"/>
      <c r="H35" s="47" t="str">
        <f t="shared" si="1"/>
        <v/>
      </c>
      <c r="I35" s="43">
        <f>'P01'!E35</f>
        <v>0</v>
      </c>
      <c r="J35" s="48">
        <f t="shared" si="2"/>
        <v>0</v>
      </c>
      <c r="K35" s="48">
        <f>'P03'!E35</f>
        <v>0</v>
      </c>
    </row>
    <row r="36" spans="1:11" ht="29" x14ac:dyDescent="0.35">
      <c r="A36" s="57">
        <v>35</v>
      </c>
      <c r="B36" s="72" t="s">
        <v>147</v>
      </c>
      <c r="C36" s="53" t="s">
        <v>69</v>
      </c>
      <c r="D36" s="35"/>
      <c r="E36" s="79"/>
      <c r="F36" s="79"/>
      <c r="G36" s="80"/>
      <c r="H36" s="47" t="str">
        <f t="shared" si="1"/>
        <v/>
      </c>
      <c r="I36" s="43">
        <f>'P01'!E36</f>
        <v>0</v>
      </c>
      <c r="J36" s="48">
        <f t="shared" si="2"/>
        <v>0</v>
      </c>
      <c r="K36" s="48">
        <f>'P03'!E36</f>
        <v>0</v>
      </c>
    </row>
    <row r="37" spans="1:11" ht="29" x14ac:dyDescent="0.35">
      <c r="A37" s="57">
        <v>36</v>
      </c>
      <c r="B37" s="72" t="s">
        <v>148</v>
      </c>
      <c r="C37" s="53" t="s">
        <v>70</v>
      </c>
      <c r="D37" s="35"/>
      <c r="E37" s="79"/>
      <c r="F37" s="79"/>
      <c r="G37" s="80"/>
      <c r="H37" s="47" t="str">
        <f t="shared" si="1"/>
        <v/>
      </c>
      <c r="I37" s="43">
        <f>'P01'!E37</f>
        <v>0</v>
      </c>
      <c r="J37" s="48">
        <f t="shared" si="2"/>
        <v>0</v>
      </c>
      <c r="K37" s="48">
        <f>'P03'!E37</f>
        <v>0</v>
      </c>
    </row>
    <row r="38" spans="1:11" ht="43.5" x14ac:dyDescent="0.35">
      <c r="A38" s="57">
        <v>37</v>
      </c>
      <c r="B38" s="72" t="s">
        <v>149</v>
      </c>
      <c r="C38" s="53" t="s">
        <v>71</v>
      </c>
      <c r="D38" s="35"/>
      <c r="E38" s="79"/>
      <c r="F38" s="79"/>
      <c r="G38" s="81"/>
      <c r="H38" s="47" t="str">
        <f t="shared" si="1"/>
        <v/>
      </c>
      <c r="I38" s="43">
        <f>'P01'!E38</f>
        <v>0</v>
      </c>
      <c r="J38" s="48">
        <f t="shared" si="2"/>
        <v>0</v>
      </c>
      <c r="K38" s="48">
        <f>'P03'!E38</f>
        <v>0</v>
      </c>
    </row>
    <row r="39" spans="1:11" ht="43.5" x14ac:dyDescent="0.35">
      <c r="A39" s="57">
        <v>38</v>
      </c>
      <c r="B39" s="72" t="s">
        <v>150</v>
      </c>
      <c r="C39" s="53" t="s">
        <v>72</v>
      </c>
      <c r="D39" s="35"/>
      <c r="E39" s="79"/>
      <c r="F39" s="79"/>
      <c r="G39" s="71"/>
      <c r="H39" s="47" t="str">
        <f t="shared" si="1"/>
        <v/>
      </c>
      <c r="I39" s="43">
        <f>'P01'!E39</f>
        <v>0</v>
      </c>
      <c r="J39" s="48">
        <f t="shared" si="2"/>
        <v>0</v>
      </c>
      <c r="K39" s="48">
        <f>'P03'!E39</f>
        <v>0</v>
      </c>
    </row>
    <row r="40" spans="1:11" x14ac:dyDescent="0.35">
      <c r="A40" s="57">
        <v>39</v>
      </c>
      <c r="B40" s="72" t="s">
        <v>151</v>
      </c>
      <c r="C40" s="53" t="s">
        <v>73</v>
      </c>
      <c r="D40" s="35"/>
      <c r="E40" s="79"/>
      <c r="F40" s="79"/>
      <c r="G40" s="80"/>
      <c r="H40" s="47" t="str">
        <f t="shared" si="1"/>
        <v/>
      </c>
      <c r="I40" s="43">
        <f>'P01'!E40</f>
        <v>0</v>
      </c>
      <c r="J40" s="48">
        <f t="shared" si="2"/>
        <v>0</v>
      </c>
      <c r="K40" s="48">
        <f>'P03'!E40</f>
        <v>0</v>
      </c>
    </row>
    <row r="41" spans="1:11" ht="29" x14ac:dyDescent="0.35">
      <c r="A41" s="57">
        <v>40</v>
      </c>
      <c r="B41" s="72" t="s">
        <v>152</v>
      </c>
      <c r="C41" s="53" t="s">
        <v>74</v>
      </c>
      <c r="D41" s="35"/>
      <c r="E41" s="79"/>
      <c r="F41" s="79"/>
      <c r="G41" s="71"/>
      <c r="H41" s="47" t="str">
        <f t="shared" si="1"/>
        <v/>
      </c>
      <c r="I41" s="43">
        <f>'P01'!E41</f>
        <v>0</v>
      </c>
      <c r="J41" s="48">
        <f t="shared" si="2"/>
        <v>0</v>
      </c>
      <c r="K41" s="48">
        <f>'P03'!E41</f>
        <v>0</v>
      </c>
    </row>
    <row r="42" spans="1:11" ht="29" x14ac:dyDescent="0.35">
      <c r="A42" s="57">
        <v>41</v>
      </c>
      <c r="B42" s="72" t="s">
        <v>153</v>
      </c>
      <c r="C42" s="53" t="s">
        <v>75</v>
      </c>
      <c r="D42" s="35"/>
      <c r="E42" s="79"/>
      <c r="F42" s="79"/>
      <c r="G42" s="71"/>
      <c r="H42" s="47" t="str">
        <f t="shared" si="1"/>
        <v/>
      </c>
      <c r="I42" s="43">
        <f>'P01'!E42</f>
        <v>0</v>
      </c>
      <c r="J42" s="48">
        <f t="shared" si="2"/>
        <v>0</v>
      </c>
      <c r="K42" s="48">
        <f>'P03'!E42</f>
        <v>0</v>
      </c>
    </row>
    <row r="43" spans="1:11" ht="29" x14ac:dyDescent="0.35">
      <c r="A43" s="57">
        <v>42</v>
      </c>
      <c r="B43" s="72" t="s">
        <v>154</v>
      </c>
      <c r="C43" s="53" t="s">
        <v>76</v>
      </c>
      <c r="D43" s="35"/>
      <c r="E43" s="79"/>
      <c r="F43" s="79"/>
      <c r="G43" s="71"/>
      <c r="H43" s="47" t="str">
        <f t="shared" si="1"/>
        <v/>
      </c>
      <c r="I43" s="43">
        <f>'P01'!E43</f>
        <v>0</v>
      </c>
      <c r="J43" s="48">
        <f t="shared" si="2"/>
        <v>0</v>
      </c>
      <c r="K43" s="48">
        <f>'P03'!E43</f>
        <v>0</v>
      </c>
    </row>
    <row r="44" spans="1:11" ht="29" x14ac:dyDescent="0.35">
      <c r="A44" s="57">
        <v>43</v>
      </c>
      <c r="B44" s="72" t="s">
        <v>155</v>
      </c>
      <c r="C44" s="53" t="s">
        <v>77</v>
      </c>
      <c r="D44" s="35">
        <f>IF(OR(E43="NA",E43="NC"),"NA",T51)</f>
        <v>0</v>
      </c>
      <c r="E44" s="79"/>
      <c r="F44" s="79"/>
      <c r="G44" s="71"/>
      <c r="H44" s="47" t="str">
        <f t="shared" si="1"/>
        <v/>
      </c>
      <c r="I44" s="43">
        <f>'P01'!E44</f>
        <v>0</v>
      </c>
      <c r="J44" s="48">
        <f t="shared" si="2"/>
        <v>0</v>
      </c>
      <c r="K44" s="48">
        <f>'P03'!E44</f>
        <v>0</v>
      </c>
    </row>
    <row r="45" spans="1:11" ht="29" x14ac:dyDescent="0.35">
      <c r="A45" s="57">
        <v>44</v>
      </c>
      <c r="B45" s="72" t="s">
        <v>156</v>
      </c>
      <c r="C45" s="53" t="s">
        <v>78</v>
      </c>
      <c r="D45" s="35">
        <f>IF(OR(E43="NA",E43="NC"),"NA",T52)</f>
        <v>0</v>
      </c>
      <c r="E45" s="79"/>
      <c r="F45" s="79"/>
      <c r="G45" s="71"/>
      <c r="H45" s="47" t="str">
        <f t="shared" si="1"/>
        <v/>
      </c>
      <c r="I45" s="43">
        <f>'P01'!E45</f>
        <v>0</v>
      </c>
      <c r="J45" s="48">
        <f t="shared" si="2"/>
        <v>0</v>
      </c>
      <c r="K45" s="48">
        <f>'P03'!E45</f>
        <v>0</v>
      </c>
    </row>
    <row r="46" spans="1:11" ht="29" x14ac:dyDescent="0.35">
      <c r="A46" s="57">
        <v>45</v>
      </c>
      <c r="B46" s="72" t="s">
        <v>157</v>
      </c>
      <c r="C46" s="53" t="s">
        <v>79</v>
      </c>
      <c r="D46" s="35"/>
      <c r="E46" s="79"/>
      <c r="F46" s="79"/>
      <c r="G46" s="71"/>
      <c r="H46" s="47" t="str">
        <f t="shared" si="1"/>
        <v/>
      </c>
      <c r="I46" s="43">
        <f>'P01'!E46</f>
        <v>0</v>
      </c>
      <c r="J46" s="48">
        <f t="shared" si="2"/>
        <v>0</v>
      </c>
      <c r="K46" s="48">
        <f>'P03'!E46</f>
        <v>0</v>
      </c>
    </row>
    <row r="47" spans="1:11" ht="58" x14ac:dyDescent="0.35">
      <c r="A47" s="57">
        <v>46</v>
      </c>
      <c r="B47" s="72" t="s">
        <v>110</v>
      </c>
      <c r="C47" s="69" t="s">
        <v>80</v>
      </c>
      <c r="D47" s="35"/>
      <c r="E47" s="79"/>
      <c r="F47" s="79"/>
      <c r="G47" s="71"/>
      <c r="H47" s="47" t="str">
        <f t="shared" si="1"/>
        <v/>
      </c>
      <c r="I47" s="43">
        <f>'P01'!E47</f>
        <v>0</v>
      </c>
      <c r="J47" s="48">
        <f t="shared" si="2"/>
        <v>0</v>
      </c>
      <c r="K47" s="48">
        <f>'P03'!E47</f>
        <v>0</v>
      </c>
    </row>
    <row r="48" spans="1:11" ht="29" x14ac:dyDescent="0.35">
      <c r="A48" s="57">
        <v>47</v>
      </c>
      <c r="B48" s="72" t="s">
        <v>111</v>
      </c>
      <c r="C48" s="69" t="s">
        <v>81</v>
      </c>
      <c r="D48" s="35"/>
      <c r="E48" s="79"/>
      <c r="F48" s="79"/>
      <c r="G48" s="80"/>
      <c r="H48" s="47" t="str">
        <f t="shared" si="1"/>
        <v/>
      </c>
      <c r="I48" s="43">
        <f>'P01'!E48</f>
        <v>0</v>
      </c>
      <c r="J48" s="48">
        <f t="shared" si="2"/>
        <v>0</v>
      </c>
      <c r="K48" s="48">
        <f>'P03'!E48</f>
        <v>0</v>
      </c>
    </row>
    <row r="49" spans="1:11" x14ac:dyDescent="0.35">
      <c r="A49" s="57">
        <v>48</v>
      </c>
      <c r="B49" s="72" t="s">
        <v>112</v>
      </c>
      <c r="C49" s="69" t="s">
        <v>82</v>
      </c>
      <c r="D49" s="35"/>
      <c r="E49" s="79"/>
      <c r="F49" s="79"/>
      <c r="G49" s="80"/>
      <c r="H49" s="47" t="str">
        <f t="shared" si="1"/>
        <v/>
      </c>
      <c r="I49" s="43">
        <f>'P01'!E49</f>
        <v>0</v>
      </c>
      <c r="J49" s="48">
        <f t="shared" si="2"/>
        <v>0</v>
      </c>
      <c r="K49" s="48">
        <f>'P03'!E49</f>
        <v>0</v>
      </c>
    </row>
    <row r="50" spans="1:11" ht="29" x14ac:dyDescent="0.35">
      <c r="A50" s="57">
        <v>49</v>
      </c>
      <c r="B50" s="72" t="s">
        <v>113</v>
      </c>
      <c r="C50" s="69" t="s">
        <v>83</v>
      </c>
      <c r="D50" s="35"/>
      <c r="E50" s="79"/>
      <c r="F50" s="79"/>
      <c r="G50" s="80"/>
      <c r="H50" s="47" t="str">
        <f t="shared" si="1"/>
        <v/>
      </c>
      <c r="I50" s="43">
        <f>'P01'!E50</f>
        <v>0</v>
      </c>
      <c r="J50" s="48">
        <f t="shared" si="2"/>
        <v>0</v>
      </c>
      <c r="K50" s="48">
        <f>'P03'!E50</f>
        <v>0</v>
      </c>
    </row>
    <row r="51" spans="1:11" ht="43.5" x14ac:dyDescent="0.35">
      <c r="A51" s="57">
        <v>50</v>
      </c>
      <c r="B51" s="72" t="s">
        <v>114</v>
      </c>
      <c r="C51" s="69" t="s">
        <v>84</v>
      </c>
      <c r="D51" s="35"/>
      <c r="E51" s="79"/>
      <c r="F51" s="79"/>
      <c r="G51" s="71"/>
      <c r="H51" s="47" t="str">
        <f t="shared" si="1"/>
        <v/>
      </c>
      <c r="I51" s="43">
        <f>'P01'!E51</f>
        <v>0</v>
      </c>
      <c r="J51" s="48">
        <f t="shared" si="2"/>
        <v>0</v>
      </c>
      <c r="K51" s="48">
        <f>'P03'!E51</f>
        <v>0</v>
      </c>
    </row>
    <row r="52" spans="1:11" ht="29" x14ac:dyDescent="0.35">
      <c r="A52" s="57">
        <v>51</v>
      </c>
      <c r="B52" s="72" t="s">
        <v>158</v>
      </c>
      <c r="C52" s="54" t="s">
        <v>85</v>
      </c>
      <c r="D52" s="35"/>
      <c r="E52" s="79"/>
      <c r="F52" s="79"/>
      <c r="G52" s="71"/>
      <c r="H52" s="47" t="str">
        <f t="shared" si="1"/>
        <v/>
      </c>
      <c r="I52" s="43">
        <f>'P01'!E52</f>
        <v>0</v>
      </c>
      <c r="J52" s="48">
        <f t="shared" si="2"/>
        <v>0</v>
      </c>
      <c r="K52" s="48">
        <f>'P03'!E52</f>
        <v>0</v>
      </c>
    </row>
    <row r="53" spans="1:11" ht="29" x14ac:dyDescent="0.35">
      <c r="A53" s="57">
        <v>52</v>
      </c>
      <c r="B53" s="72" t="s">
        <v>159</v>
      </c>
      <c r="C53" s="54" t="s">
        <v>86</v>
      </c>
      <c r="D53" s="35"/>
      <c r="E53" s="79"/>
      <c r="F53" s="79"/>
      <c r="G53" s="71"/>
      <c r="H53" s="47" t="str">
        <f t="shared" si="1"/>
        <v/>
      </c>
      <c r="I53" s="43">
        <f>'P01'!E53</f>
        <v>0</v>
      </c>
      <c r="J53" s="48">
        <f t="shared" si="2"/>
        <v>0</v>
      </c>
      <c r="K53" s="48">
        <f>'P03'!E53</f>
        <v>0</v>
      </c>
    </row>
    <row r="54" spans="1:11" ht="29" x14ac:dyDescent="0.35">
      <c r="A54" s="43">
        <v>53</v>
      </c>
      <c r="B54" s="72" t="s">
        <v>160</v>
      </c>
      <c r="C54" s="54" t="s">
        <v>87</v>
      </c>
      <c r="D54" s="35"/>
      <c r="E54" s="79"/>
      <c r="F54" s="79"/>
      <c r="G54" s="71"/>
      <c r="H54" s="47" t="str">
        <f t="shared" si="1"/>
        <v/>
      </c>
      <c r="I54" s="43">
        <f>'P01'!E54</f>
        <v>0</v>
      </c>
      <c r="J54" s="48">
        <f t="shared" si="2"/>
        <v>0</v>
      </c>
      <c r="K54" s="48">
        <f>'P03'!E54</f>
        <v>0</v>
      </c>
    </row>
  </sheetData>
  <autoFilter ref="A1:K1" xr:uid="{E08E7402-850D-47EF-A3D5-79EB035C8308}">
    <sortState xmlns:xlrd2="http://schemas.microsoft.com/office/spreadsheetml/2017/richdata2" ref="A2:K54">
      <sortCondition ref="A1"/>
    </sortState>
  </autoFilter>
  <conditionalFormatting sqref="A1">
    <cfRule type="duplicateValues" dxfId="19" priority="9"/>
  </conditionalFormatting>
  <conditionalFormatting sqref="A2:A53">
    <cfRule type="duplicateValues" dxfId="18" priority="3"/>
  </conditionalFormatting>
  <conditionalFormatting sqref="A55:A1048576">
    <cfRule type="duplicateValues" dxfId="17" priority="73"/>
  </conditionalFormatting>
  <conditionalFormatting sqref="D1:D1048576">
    <cfRule type="cellIs" dxfId="16" priority="6" operator="equal">
      <formula>"NA"</formula>
    </cfRule>
  </conditionalFormatting>
  <conditionalFormatting sqref="E1">
    <cfRule type="cellIs" dxfId="15" priority="5" operator="equal">
      <formula>"NT"</formula>
    </cfRule>
  </conditionalFormatting>
  <conditionalFormatting sqref="E2:E54">
    <cfRule type="cellIs" dxfId="14" priority="2" operator="equal">
      <formula>"NT"</formula>
    </cfRule>
  </conditionalFormatting>
  <conditionalFormatting sqref="H1">
    <cfRule type="duplicateValues" dxfId="13" priority="8"/>
  </conditionalFormatting>
  <conditionalFormatting sqref="H2:H54">
    <cfRule type="notContainsBlanks" dxfId="12" priority="70">
      <formula>LEN(TRIM(H2))&gt;0</formula>
    </cfRule>
  </conditionalFormatting>
  <conditionalFormatting sqref="H2:H1048576">
    <cfRule type="notContainsBlanks" priority="71">
      <formula>LEN(TRIM(H2))&gt;0</formula>
    </cfRule>
  </conditionalFormatting>
  <conditionalFormatting sqref="I1:K1">
    <cfRule type="duplicateValues" dxfId="11" priority="10"/>
  </conditionalFormatting>
  <conditionalFormatting sqref="I1:K1048576">
    <cfRule type="cellIs" dxfId="10" priority="7" operator="equal">
      <formula>"NC"</formula>
    </cfRule>
  </conditionalFormatting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9601BA-2E2C-41BB-9A21-820505C5FA46}">
  <dimension ref="A1:K54"/>
  <sheetViews>
    <sheetView zoomScale="70" zoomScaleNormal="70" workbookViewId="0">
      <pane ySplit="1" topLeftCell="A19" activePane="bottomLeft" state="frozen"/>
      <selection pane="bottomLeft" activeCell="H25" sqref="H25"/>
    </sheetView>
  </sheetViews>
  <sheetFormatPr defaultColWidth="8.84375" defaultRowHeight="15.5" x14ac:dyDescent="0.35"/>
  <cols>
    <col min="1" max="1" width="6" style="43" customWidth="1"/>
    <col min="2" max="2" width="6" style="43" bestFit="1" customWidth="1"/>
    <col min="3" max="3" width="54" style="45" customWidth="1"/>
    <col min="4" max="4" width="8.84375" style="43" customWidth="1"/>
    <col min="5" max="5" width="5.23046875" style="43" customWidth="1"/>
    <col min="6" max="6" width="5" style="43" bestFit="1" customWidth="1"/>
    <col min="7" max="7" width="52.23046875" style="39" customWidth="1"/>
    <col min="8" max="8" width="25.07421875" style="47" customWidth="1"/>
    <col min="9" max="9" width="5.4609375" style="43" customWidth="1"/>
    <col min="10" max="10" width="5.84375" style="43" customWidth="1"/>
    <col min="11" max="11" width="12.69140625" style="43" bestFit="1" customWidth="1"/>
    <col min="12" max="16384" width="8.84375" style="38"/>
  </cols>
  <sheetData>
    <row r="1" spans="1:11" ht="101.25" customHeight="1" x14ac:dyDescent="0.35">
      <c r="A1" s="42" t="s">
        <v>103</v>
      </c>
      <c r="B1" s="41" t="s">
        <v>34</v>
      </c>
      <c r="C1" s="44" t="s">
        <v>35</v>
      </c>
      <c r="D1" s="64" t="s">
        <v>104</v>
      </c>
      <c r="E1" s="62" t="s">
        <v>89</v>
      </c>
      <c r="F1" s="62" t="s">
        <v>101</v>
      </c>
      <c r="G1" s="63" t="s">
        <v>102</v>
      </c>
      <c r="H1" s="78" t="s">
        <v>105</v>
      </c>
      <c r="I1" s="51" t="s">
        <v>6</v>
      </c>
      <c r="J1" s="78" t="s">
        <v>7</v>
      </c>
      <c r="K1" s="78" t="str">
        <f>"P03 " &amp; COUNTA(E2:E54) &amp;"/"&amp;COUNTA(C2:C54)</f>
        <v>P03 0/53</v>
      </c>
    </row>
    <row r="2" spans="1:11" ht="42.75" customHeight="1" x14ac:dyDescent="0.35">
      <c r="A2" s="57">
        <v>1</v>
      </c>
      <c r="B2" s="72" t="s">
        <v>115</v>
      </c>
      <c r="C2" s="55" t="s">
        <v>36</v>
      </c>
      <c r="D2" s="35"/>
      <c r="E2" s="79"/>
      <c r="F2" s="79"/>
      <c r="G2" s="71"/>
      <c r="H2" s="47" t="str">
        <f t="shared" ref="H2" si="0">IF(AND(E2="NC",G2=""),"Il manque un message d'erreur",
   IF(AND(E2&lt;&gt;"NC",G2&lt;&gt;""),"Il faut seulement écrire un message d'erreur pour NC",""))</f>
        <v/>
      </c>
      <c r="I2" s="43">
        <f>'P01'!E2</f>
        <v>0</v>
      </c>
      <c r="J2" s="48">
        <f>'P02'!E2</f>
        <v>0</v>
      </c>
      <c r="K2" s="48">
        <f t="shared" ref="K2" si="1">E2</f>
        <v>0</v>
      </c>
    </row>
    <row r="3" spans="1:11" ht="29" x14ac:dyDescent="0.35">
      <c r="A3" s="57">
        <v>2</v>
      </c>
      <c r="B3" s="72" t="s">
        <v>116</v>
      </c>
      <c r="C3" s="69" t="s">
        <v>37</v>
      </c>
      <c r="D3" s="35"/>
      <c r="E3" s="79"/>
      <c r="F3" s="79"/>
      <c r="G3" s="71"/>
      <c r="H3" s="47" t="str">
        <f t="shared" ref="H3:H54" si="2">IF(AND(E3="NC",G3=""),"Il manque un message d'erreur",
   IF(AND(E3&lt;&gt;"NC",G3&lt;&gt;""),"Il faut seulement écrire un message d'erreur pour NC",""))</f>
        <v/>
      </c>
      <c r="I3" s="43">
        <f>'P01'!E3</f>
        <v>0</v>
      </c>
      <c r="J3" s="48">
        <f>'P02'!E3</f>
        <v>0</v>
      </c>
      <c r="K3" s="48">
        <f t="shared" ref="K3:K54" si="3">E3</f>
        <v>0</v>
      </c>
    </row>
    <row r="4" spans="1:11" ht="29" x14ac:dyDescent="0.35">
      <c r="A4" s="57">
        <v>3</v>
      </c>
      <c r="B4" s="72" t="s">
        <v>117</v>
      </c>
      <c r="C4" s="55" t="s">
        <v>38</v>
      </c>
      <c r="D4" s="35">
        <f>IF(OR(E2="NA",E2="NC"),"NA",T3)</f>
        <v>0</v>
      </c>
      <c r="E4" s="79"/>
      <c r="F4" s="79"/>
      <c r="G4" s="71"/>
      <c r="H4" s="47" t="str">
        <f t="shared" si="2"/>
        <v/>
      </c>
      <c r="I4" s="43">
        <f>'P01'!E4</f>
        <v>0</v>
      </c>
      <c r="J4" s="48">
        <f>'P02'!E4</f>
        <v>0</v>
      </c>
      <c r="K4" s="48">
        <f t="shared" si="3"/>
        <v>0</v>
      </c>
    </row>
    <row r="5" spans="1:11" ht="43.5" x14ac:dyDescent="0.35">
      <c r="A5" s="57">
        <v>4</v>
      </c>
      <c r="B5" s="72" t="s">
        <v>118</v>
      </c>
      <c r="C5" s="55" t="s">
        <v>39</v>
      </c>
      <c r="D5" s="35"/>
      <c r="E5" s="79"/>
      <c r="F5" s="79"/>
      <c r="G5" s="80"/>
      <c r="H5" s="47" t="str">
        <f t="shared" si="2"/>
        <v/>
      </c>
      <c r="I5" s="43">
        <f>'P01'!E5</f>
        <v>0</v>
      </c>
      <c r="J5" s="48">
        <f>'P02'!E5</f>
        <v>0</v>
      </c>
      <c r="K5" s="48">
        <f t="shared" si="3"/>
        <v>0</v>
      </c>
    </row>
    <row r="6" spans="1:11" ht="29" x14ac:dyDescent="0.35">
      <c r="A6" s="57">
        <v>5</v>
      </c>
      <c r="B6" s="72" t="s">
        <v>119</v>
      </c>
      <c r="C6" s="55" t="s">
        <v>40</v>
      </c>
      <c r="D6" s="35"/>
      <c r="E6" s="79"/>
      <c r="F6" s="79"/>
      <c r="G6" s="80"/>
      <c r="H6" s="47" t="str">
        <f t="shared" si="2"/>
        <v/>
      </c>
      <c r="I6" s="43">
        <f>'P01'!E6</f>
        <v>0</v>
      </c>
      <c r="J6" s="48">
        <f>'P02'!E6</f>
        <v>0</v>
      </c>
      <c r="K6" s="48">
        <f t="shared" si="3"/>
        <v>0</v>
      </c>
    </row>
    <row r="7" spans="1:11" ht="29" x14ac:dyDescent="0.35">
      <c r="A7" s="57">
        <v>6</v>
      </c>
      <c r="B7" s="72" t="s">
        <v>120</v>
      </c>
      <c r="C7" s="55" t="s">
        <v>41</v>
      </c>
      <c r="D7" s="35">
        <f>IF(OR(E2="NA",E2="NC"),"NA",T6)</f>
        <v>0</v>
      </c>
      <c r="E7" s="79"/>
      <c r="F7" s="79"/>
      <c r="G7" s="80"/>
      <c r="H7" s="47" t="str">
        <f t="shared" si="2"/>
        <v/>
      </c>
      <c r="I7" s="43">
        <f>'P01'!E7</f>
        <v>0</v>
      </c>
      <c r="J7" s="48">
        <f>'P02'!E7</f>
        <v>0</v>
      </c>
      <c r="K7" s="48">
        <f t="shared" si="3"/>
        <v>0</v>
      </c>
    </row>
    <row r="8" spans="1:11" ht="29" x14ac:dyDescent="0.35">
      <c r="A8" s="57">
        <v>7</v>
      </c>
      <c r="B8" s="72" t="s">
        <v>121</v>
      </c>
      <c r="C8" s="56" t="s">
        <v>42</v>
      </c>
      <c r="D8" s="35">
        <f>IF(OR(E2="NA",E2="NC"),"NA",T7)</f>
        <v>0</v>
      </c>
      <c r="E8" s="79"/>
      <c r="F8" s="79"/>
      <c r="G8" s="71"/>
      <c r="H8" s="47" t="str">
        <f t="shared" si="2"/>
        <v/>
      </c>
      <c r="I8" s="43">
        <f>'P01'!E8</f>
        <v>0</v>
      </c>
      <c r="J8" s="48">
        <f>'P02'!E8</f>
        <v>0</v>
      </c>
      <c r="K8" s="48">
        <f t="shared" si="3"/>
        <v>0</v>
      </c>
    </row>
    <row r="9" spans="1:11" x14ac:dyDescent="0.35">
      <c r="A9" s="57">
        <v>8</v>
      </c>
      <c r="B9" s="72">
        <v>2.1</v>
      </c>
      <c r="C9" s="53" t="s">
        <v>43</v>
      </c>
      <c r="D9" s="35"/>
      <c r="E9" s="79"/>
      <c r="F9" s="79"/>
      <c r="G9" s="71"/>
      <c r="H9" s="47" t="str">
        <f t="shared" si="2"/>
        <v/>
      </c>
      <c r="I9" s="43">
        <f>'P01'!E9</f>
        <v>0</v>
      </c>
      <c r="J9" s="48">
        <f>'P02'!E9</f>
        <v>0</v>
      </c>
      <c r="K9" s="48">
        <f t="shared" si="3"/>
        <v>0</v>
      </c>
    </row>
    <row r="10" spans="1:11" ht="29" x14ac:dyDescent="0.35">
      <c r="A10" s="57">
        <v>9</v>
      </c>
      <c r="B10" s="72" t="s">
        <v>122</v>
      </c>
      <c r="C10" s="53" t="s">
        <v>44</v>
      </c>
      <c r="D10" s="35"/>
      <c r="E10" s="79"/>
      <c r="F10" s="79"/>
      <c r="G10" s="80"/>
      <c r="H10" s="47" t="str">
        <f t="shared" si="2"/>
        <v/>
      </c>
      <c r="I10" s="43">
        <f>'P01'!E10</f>
        <v>0</v>
      </c>
      <c r="J10" s="48">
        <f>'P02'!E10</f>
        <v>0</v>
      </c>
      <c r="K10" s="48">
        <f t="shared" si="3"/>
        <v>0</v>
      </c>
    </row>
    <row r="11" spans="1:11" ht="29" x14ac:dyDescent="0.35">
      <c r="A11" s="57">
        <v>10</v>
      </c>
      <c r="B11" s="72" t="s">
        <v>123</v>
      </c>
      <c r="C11" s="53" t="s">
        <v>45</v>
      </c>
      <c r="D11" s="35"/>
      <c r="E11" s="79"/>
      <c r="F11" s="79"/>
      <c r="G11" s="80"/>
      <c r="H11" s="47" t="str">
        <f t="shared" si="2"/>
        <v/>
      </c>
      <c r="I11" s="43">
        <f>'P01'!E11</f>
        <v>0</v>
      </c>
      <c r="J11" s="48">
        <f>'P02'!E11</f>
        <v>0</v>
      </c>
      <c r="K11" s="48">
        <f t="shared" si="3"/>
        <v>0</v>
      </c>
    </row>
    <row r="12" spans="1:11" ht="29" x14ac:dyDescent="0.35">
      <c r="A12" s="57">
        <v>11</v>
      </c>
      <c r="B12" s="72" t="s">
        <v>124</v>
      </c>
      <c r="C12" s="53" t="s">
        <v>46</v>
      </c>
      <c r="D12" s="35"/>
      <c r="E12" s="79"/>
      <c r="F12" s="79"/>
      <c r="G12" s="71"/>
      <c r="H12" s="47" t="str">
        <f t="shared" si="2"/>
        <v/>
      </c>
      <c r="I12" s="43">
        <f>'P01'!E12</f>
        <v>0</v>
      </c>
      <c r="J12" s="48">
        <f>'P02'!E12</f>
        <v>0</v>
      </c>
      <c r="K12" s="48">
        <f t="shared" si="3"/>
        <v>0</v>
      </c>
    </row>
    <row r="13" spans="1:11" ht="43.5" x14ac:dyDescent="0.35">
      <c r="A13" s="57">
        <v>12</v>
      </c>
      <c r="B13" s="72" t="s">
        <v>125</v>
      </c>
      <c r="C13" s="53" t="s">
        <v>47</v>
      </c>
      <c r="D13" s="35">
        <f>IF(OR(E12="NA",E12="NC"),"NA",T13)</f>
        <v>0</v>
      </c>
      <c r="E13" s="79"/>
      <c r="F13" s="79"/>
      <c r="G13" s="71"/>
      <c r="H13" s="47" t="str">
        <f t="shared" si="2"/>
        <v/>
      </c>
      <c r="I13" s="43">
        <f>'P01'!E13</f>
        <v>0</v>
      </c>
      <c r="J13" s="48">
        <f>'P02'!E13</f>
        <v>0</v>
      </c>
      <c r="K13" s="48">
        <f t="shared" si="3"/>
        <v>0</v>
      </c>
    </row>
    <row r="14" spans="1:11" ht="29" x14ac:dyDescent="0.35">
      <c r="A14" s="57">
        <v>13</v>
      </c>
      <c r="B14" s="72" t="s">
        <v>126</v>
      </c>
      <c r="C14" s="53" t="s">
        <v>48</v>
      </c>
      <c r="D14" s="35">
        <f>IF(OR(E12="NA",E12="NC"),"NA",T14)</f>
        <v>0</v>
      </c>
      <c r="E14" s="79"/>
      <c r="F14" s="79"/>
      <c r="G14" s="71"/>
      <c r="H14" s="47" t="str">
        <f t="shared" si="2"/>
        <v/>
      </c>
      <c r="I14" s="43">
        <f>'P01'!E14</f>
        <v>0</v>
      </c>
      <c r="J14" s="48">
        <f>'P02'!E14</f>
        <v>0</v>
      </c>
      <c r="K14" s="48">
        <f t="shared" si="3"/>
        <v>0</v>
      </c>
    </row>
    <row r="15" spans="1:11" ht="29" x14ac:dyDescent="0.35">
      <c r="A15" s="57">
        <v>14</v>
      </c>
      <c r="B15" s="72" t="s">
        <v>127</v>
      </c>
      <c r="C15" s="53" t="s">
        <v>49</v>
      </c>
      <c r="D15" s="35">
        <f>IF(OR(E12="NA",E12="NC"),"NA",T15)</f>
        <v>0</v>
      </c>
      <c r="E15" s="79"/>
      <c r="F15" s="79"/>
      <c r="G15" s="71"/>
      <c r="H15" s="47" t="str">
        <f t="shared" si="2"/>
        <v/>
      </c>
      <c r="I15" s="43">
        <f>'P01'!E15</f>
        <v>0</v>
      </c>
      <c r="J15" s="48">
        <f>'P02'!E15</f>
        <v>0</v>
      </c>
      <c r="K15" s="48">
        <f t="shared" si="3"/>
        <v>0</v>
      </c>
    </row>
    <row r="16" spans="1:11" ht="29" x14ac:dyDescent="0.35">
      <c r="A16" s="57">
        <v>15</v>
      </c>
      <c r="B16" s="72" t="s">
        <v>128</v>
      </c>
      <c r="C16" s="53" t="s">
        <v>50</v>
      </c>
      <c r="D16" s="35"/>
      <c r="E16" s="79"/>
      <c r="F16" s="79"/>
      <c r="G16" s="71"/>
      <c r="H16" s="47" t="str">
        <f t="shared" si="2"/>
        <v/>
      </c>
      <c r="I16" s="43">
        <f>'P01'!E16</f>
        <v>0</v>
      </c>
      <c r="J16" s="48">
        <f>'P02'!E16</f>
        <v>0</v>
      </c>
      <c r="K16" s="48">
        <f t="shared" si="3"/>
        <v>0</v>
      </c>
    </row>
    <row r="17" spans="1:11" ht="29" x14ac:dyDescent="0.35">
      <c r="A17" s="57">
        <v>16</v>
      </c>
      <c r="B17" s="72" t="s">
        <v>129</v>
      </c>
      <c r="C17" s="53" t="s">
        <v>51</v>
      </c>
      <c r="D17" s="35">
        <f>IF(OR(E16="NA",E16="NC"),"NA",T21)</f>
        <v>0</v>
      </c>
      <c r="E17" s="79"/>
      <c r="F17" s="79"/>
      <c r="G17" s="71"/>
      <c r="H17" s="47" t="str">
        <f t="shared" si="2"/>
        <v/>
      </c>
      <c r="I17" s="43">
        <f>'P01'!E17</f>
        <v>0</v>
      </c>
      <c r="J17" s="48">
        <f>'P02'!E17</f>
        <v>0</v>
      </c>
      <c r="K17" s="48">
        <f t="shared" si="3"/>
        <v>0</v>
      </c>
    </row>
    <row r="18" spans="1:11" ht="29" x14ac:dyDescent="0.35">
      <c r="A18" s="57">
        <v>17</v>
      </c>
      <c r="B18" s="72" t="s">
        <v>130</v>
      </c>
      <c r="C18" s="53" t="s">
        <v>52</v>
      </c>
      <c r="D18" s="35"/>
      <c r="E18" s="79"/>
      <c r="F18" s="79"/>
      <c r="G18" s="71"/>
      <c r="H18" s="47" t="str">
        <f t="shared" si="2"/>
        <v/>
      </c>
      <c r="I18" s="43">
        <f>'P01'!E18</f>
        <v>0</v>
      </c>
      <c r="J18" s="48">
        <f>'P02'!E18</f>
        <v>0</v>
      </c>
      <c r="K18" s="48">
        <f t="shared" si="3"/>
        <v>0</v>
      </c>
    </row>
    <row r="19" spans="1:11" ht="29" x14ac:dyDescent="0.35">
      <c r="A19" s="57">
        <v>18</v>
      </c>
      <c r="B19" s="72" t="s">
        <v>131</v>
      </c>
      <c r="C19" s="53" t="s">
        <v>53</v>
      </c>
      <c r="D19" s="35">
        <f>IF(OR(E12="NA",E12="NC"),"NA",T16)</f>
        <v>0</v>
      </c>
      <c r="E19" s="79"/>
      <c r="F19" s="79"/>
      <c r="G19" s="71"/>
      <c r="H19" s="47" t="str">
        <f t="shared" si="2"/>
        <v/>
      </c>
      <c r="I19" s="43">
        <f>'P01'!E19</f>
        <v>0</v>
      </c>
      <c r="J19" s="48">
        <f>'P02'!E19</f>
        <v>0</v>
      </c>
      <c r="K19" s="48">
        <f t="shared" si="3"/>
        <v>0</v>
      </c>
    </row>
    <row r="20" spans="1:11" ht="29" x14ac:dyDescent="0.35">
      <c r="A20" s="57">
        <v>19</v>
      </c>
      <c r="B20" s="72" t="s">
        <v>132</v>
      </c>
      <c r="C20" s="53" t="s">
        <v>54</v>
      </c>
      <c r="D20" s="35"/>
      <c r="E20" s="79"/>
      <c r="F20" s="79"/>
      <c r="G20" s="80"/>
      <c r="H20" s="47" t="str">
        <f t="shared" si="2"/>
        <v/>
      </c>
      <c r="I20" s="43">
        <f>'P01'!E20</f>
        <v>0</v>
      </c>
      <c r="J20" s="48">
        <f>'P02'!E20</f>
        <v>0</v>
      </c>
      <c r="K20" s="48">
        <f t="shared" si="3"/>
        <v>0</v>
      </c>
    </row>
    <row r="21" spans="1:11" ht="43.5" x14ac:dyDescent="0.35">
      <c r="A21" s="57">
        <v>20</v>
      </c>
      <c r="B21" s="72" t="s">
        <v>133</v>
      </c>
      <c r="C21" s="53" t="s">
        <v>55</v>
      </c>
      <c r="D21" s="35">
        <f>IF(OR(E20="NA",E20="NC"),"NA",T27)</f>
        <v>0</v>
      </c>
      <c r="E21" s="79"/>
      <c r="F21" s="79"/>
      <c r="G21" s="71"/>
      <c r="H21" s="47" t="str">
        <f t="shared" si="2"/>
        <v/>
      </c>
      <c r="I21" s="43">
        <f>'P01'!E21</f>
        <v>0</v>
      </c>
      <c r="J21" s="48">
        <f>'P02'!E21</f>
        <v>0</v>
      </c>
      <c r="K21" s="48">
        <f t="shared" si="3"/>
        <v>0</v>
      </c>
    </row>
    <row r="22" spans="1:11" x14ac:dyDescent="0.35">
      <c r="A22" s="57">
        <v>21</v>
      </c>
      <c r="B22" s="72" t="s">
        <v>134</v>
      </c>
      <c r="C22" s="53" t="s">
        <v>56</v>
      </c>
      <c r="D22" s="35"/>
      <c r="E22" s="79"/>
      <c r="F22" s="79"/>
      <c r="G22" s="80"/>
      <c r="H22" s="47" t="str">
        <f t="shared" si="2"/>
        <v/>
      </c>
      <c r="I22" s="43">
        <f>'P01'!E22</f>
        <v>0</v>
      </c>
      <c r="J22" s="48">
        <f>'P02'!E22</f>
        <v>0</v>
      </c>
      <c r="K22" s="48">
        <f t="shared" si="3"/>
        <v>0</v>
      </c>
    </row>
    <row r="23" spans="1:11" x14ac:dyDescent="0.35">
      <c r="A23" s="57">
        <v>22</v>
      </c>
      <c r="B23" s="72" t="s">
        <v>135</v>
      </c>
      <c r="C23" s="53" t="s">
        <v>57</v>
      </c>
      <c r="D23" s="35"/>
      <c r="E23" s="79"/>
      <c r="F23" s="79"/>
      <c r="G23" s="80"/>
      <c r="H23" s="47" t="str">
        <f t="shared" si="2"/>
        <v/>
      </c>
      <c r="I23" s="43">
        <f>'P01'!E23</f>
        <v>0</v>
      </c>
      <c r="J23" s="48">
        <f>'P02'!E23</f>
        <v>0</v>
      </c>
      <c r="K23" s="48">
        <f t="shared" si="3"/>
        <v>0</v>
      </c>
    </row>
    <row r="24" spans="1:11" ht="29" x14ac:dyDescent="0.35">
      <c r="A24" s="57">
        <v>23</v>
      </c>
      <c r="B24" s="72" t="s">
        <v>136</v>
      </c>
      <c r="C24" s="53" t="s">
        <v>58</v>
      </c>
      <c r="D24" s="35"/>
      <c r="E24" s="79"/>
      <c r="F24" s="79"/>
      <c r="G24" s="80"/>
      <c r="H24" s="47" t="str">
        <f t="shared" si="2"/>
        <v/>
      </c>
      <c r="I24" s="43">
        <f>'P01'!E24</f>
        <v>0</v>
      </c>
      <c r="J24" s="48">
        <f>'P02'!E24</f>
        <v>0</v>
      </c>
      <c r="K24" s="48">
        <f t="shared" si="3"/>
        <v>0</v>
      </c>
    </row>
    <row r="25" spans="1:11" s="60" customFormat="1" x14ac:dyDescent="0.35">
      <c r="A25" s="57">
        <v>24</v>
      </c>
      <c r="B25" s="72">
        <v>8.1</v>
      </c>
      <c r="C25" s="53" t="s">
        <v>162</v>
      </c>
      <c r="D25" s="35"/>
      <c r="E25" s="79"/>
      <c r="F25" s="79"/>
      <c r="G25" s="80"/>
      <c r="H25" s="47"/>
      <c r="I25" s="43">
        <f>'P01'!E25</f>
        <v>0</v>
      </c>
      <c r="J25" s="48">
        <f>'P02'!E25</f>
        <v>0</v>
      </c>
      <c r="K25" s="48">
        <f t="shared" si="3"/>
        <v>0</v>
      </c>
    </row>
    <row r="26" spans="1:11" ht="29" x14ac:dyDescent="0.35">
      <c r="A26" s="57">
        <v>25</v>
      </c>
      <c r="B26" s="72" t="s">
        <v>137</v>
      </c>
      <c r="C26" s="53" t="s">
        <v>59</v>
      </c>
      <c r="D26" s="35"/>
      <c r="E26" s="79"/>
      <c r="F26" s="79"/>
      <c r="G26" s="71"/>
      <c r="H26" s="47" t="str">
        <f t="shared" si="2"/>
        <v/>
      </c>
      <c r="I26" s="43">
        <f>'P01'!E26</f>
        <v>0</v>
      </c>
      <c r="J26" s="48">
        <f>'P02'!E26</f>
        <v>0</v>
      </c>
      <c r="K26" s="48">
        <f t="shared" si="3"/>
        <v>0</v>
      </c>
    </row>
    <row r="27" spans="1:11" x14ac:dyDescent="0.35">
      <c r="A27" s="57">
        <v>26</v>
      </c>
      <c r="B27" s="72" t="s">
        <v>138</v>
      </c>
      <c r="C27" s="53" t="s">
        <v>60</v>
      </c>
      <c r="D27" s="35"/>
      <c r="E27" s="79"/>
      <c r="F27" s="79"/>
      <c r="G27" s="71"/>
      <c r="H27" s="47" t="str">
        <f t="shared" si="2"/>
        <v/>
      </c>
      <c r="I27" s="43">
        <f>'P01'!E27</f>
        <v>0</v>
      </c>
      <c r="J27" s="48">
        <f>'P02'!E27</f>
        <v>0</v>
      </c>
      <c r="K27" s="48">
        <f t="shared" si="3"/>
        <v>0</v>
      </c>
    </row>
    <row r="28" spans="1:11" ht="29" x14ac:dyDescent="0.35">
      <c r="A28" s="57">
        <v>27</v>
      </c>
      <c r="B28" s="72" t="s">
        <v>139</v>
      </c>
      <c r="C28" s="53" t="s">
        <v>61</v>
      </c>
      <c r="D28" s="35"/>
      <c r="E28" s="79"/>
      <c r="F28" s="79"/>
      <c r="G28" s="71"/>
      <c r="H28" s="47" t="str">
        <f t="shared" si="2"/>
        <v/>
      </c>
      <c r="I28" s="43">
        <f>'P01'!E28</f>
        <v>0</v>
      </c>
      <c r="J28" s="48">
        <f>'P02'!E28</f>
        <v>0</v>
      </c>
      <c r="K28" s="48">
        <f t="shared" si="3"/>
        <v>0</v>
      </c>
    </row>
    <row r="29" spans="1:11" x14ac:dyDescent="0.35">
      <c r="A29" s="57">
        <v>28</v>
      </c>
      <c r="B29" s="72" t="s">
        <v>140</v>
      </c>
      <c r="C29" s="53" t="s">
        <v>62</v>
      </c>
      <c r="D29" s="35">
        <f>IF(E28="NA","NA",U36)</f>
        <v>0</v>
      </c>
      <c r="E29" s="79"/>
      <c r="F29" s="79"/>
      <c r="G29" s="71"/>
      <c r="H29" s="47" t="str">
        <f t="shared" si="2"/>
        <v/>
      </c>
      <c r="I29" s="43">
        <f>'P01'!E29</f>
        <v>0</v>
      </c>
      <c r="J29" s="48">
        <f>'P02'!E29</f>
        <v>0</v>
      </c>
      <c r="K29" s="48">
        <f t="shared" si="3"/>
        <v>0</v>
      </c>
    </row>
    <row r="30" spans="1:11" x14ac:dyDescent="0.35">
      <c r="A30" s="57">
        <v>29</v>
      </c>
      <c r="B30" s="72" t="s">
        <v>141</v>
      </c>
      <c r="C30" s="53" t="s">
        <v>63</v>
      </c>
      <c r="D30" s="35"/>
      <c r="E30" s="79"/>
      <c r="F30" s="79"/>
      <c r="G30" s="71"/>
      <c r="H30" s="47" t="str">
        <f t="shared" si="2"/>
        <v/>
      </c>
      <c r="I30" s="43">
        <f>'P01'!E30</f>
        <v>0</v>
      </c>
      <c r="J30" s="48">
        <f>'P02'!E30</f>
        <v>0</v>
      </c>
      <c r="K30" s="48">
        <f t="shared" si="3"/>
        <v>0</v>
      </c>
    </row>
    <row r="31" spans="1:11" ht="29" x14ac:dyDescent="0.35">
      <c r="A31" s="57">
        <v>30</v>
      </c>
      <c r="B31" s="72" t="s">
        <v>142</v>
      </c>
      <c r="C31" s="53" t="s">
        <v>64</v>
      </c>
      <c r="D31" s="35"/>
      <c r="E31" s="79"/>
      <c r="F31" s="79"/>
      <c r="G31" s="71"/>
      <c r="H31" s="47" t="str">
        <f t="shared" si="2"/>
        <v/>
      </c>
      <c r="I31" s="43">
        <f>'P01'!E31</f>
        <v>0</v>
      </c>
      <c r="J31" s="48">
        <f>'P02'!E31</f>
        <v>0</v>
      </c>
      <c r="K31" s="48">
        <f t="shared" si="3"/>
        <v>0</v>
      </c>
    </row>
    <row r="32" spans="1:11" ht="29" x14ac:dyDescent="0.35">
      <c r="A32" s="57">
        <v>31</v>
      </c>
      <c r="B32" s="72" t="s">
        <v>143</v>
      </c>
      <c r="C32" s="53" t="s">
        <v>65</v>
      </c>
      <c r="D32" s="35"/>
      <c r="E32" s="79"/>
      <c r="F32" s="79"/>
      <c r="G32" s="71"/>
      <c r="H32" s="47" t="str">
        <f t="shared" si="2"/>
        <v/>
      </c>
      <c r="I32" s="43">
        <f>'P01'!E32</f>
        <v>0</v>
      </c>
      <c r="J32" s="48">
        <f>'P02'!E32</f>
        <v>0</v>
      </c>
      <c r="K32" s="48">
        <f t="shared" si="3"/>
        <v>0</v>
      </c>
    </row>
    <row r="33" spans="1:11" ht="29" x14ac:dyDescent="0.35">
      <c r="A33" s="57">
        <v>32</v>
      </c>
      <c r="B33" s="72" t="s">
        <v>144</v>
      </c>
      <c r="C33" s="53" t="s">
        <v>66</v>
      </c>
      <c r="D33" s="35">
        <f>IF(OR(E32="NA",E32="NC"),"NA",T41)</f>
        <v>0</v>
      </c>
      <c r="E33" s="79"/>
      <c r="F33" s="79"/>
      <c r="G33" s="71"/>
      <c r="H33" s="47" t="str">
        <f t="shared" si="2"/>
        <v/>
      </c>
      <c r="I33" s="43">
        <f>'P01'!E33</f>
        <v>0</v>
      </c>
      <c r="J33" s="48">
        <f>'P02'!E33</f>
        <v>0</v>
      </c>
      <c r="K33" s="48">
        <f t="shared" si="3"/>
        <v>0</v>
      </c>
    </row>
    <row r="34" spans="1:11" ht="29" x14ac:dyDescent="0.35">
      <c r="A34" s="57">
        <v>33</v>
      </c>
      <c r="B34" s="72" t="s">
        <v>145</v>
      </c>
      <c r="C34" s="53" t="s">
        <v>67</v>
      </c>
      <c r="D34" s="35"/>
      <c r="E34" s="79"/>
      <c r="F34" s="79"/>
      <c r="G34" s="80"/>
      <c r="H34" s="47" t="str">
        <f t="shared" si="2"/>
        <v/>
      </c>
      <c r="I34" s="43">
        <f>'P01'!E34</f>
        <v>0</v>
      </c>
      <c r="J34" s="48">
        <f>'P02'!E34</f>
        <v>0</v>
      </c>
      <c r="K34" s="48">
        <f t="shared" si="3"/>
        <v>0</v>
      </c>
    </row>
    <row r="35" spans="1:11" ht="29" x14ac:dyDescent="0.35">
      <c r="A35" s="57">
        <v>34</v>
      </c>
      <c r="B35" s="72" t="s">
        <v>146</v>
      </c>
      <c r="C35" s="53" t="s">
        <v>68</v>
      </c>
      <c r="D35" s="35"/>
      <c r="E35" s="79"/>
      <c r="F35" s="79"/>
      <c r="G35" s="80"/>
      <c r="H35" s="47" t="str">
        <f t="shared" si="2"/>
        <v/>
      </c>
      <c r="I35" s="43">
        <f>'P01'!E35</f>
        <v>0</v>
      </c>
      <c r="J35" s="48">
        <f>'P02'!E35</f>
        <v>0</v>
      </c>
      <c r="K35" s="48">
        <f t="shared" si="3"/>
        <v>0</v>
      </c>
    </row>
    <row r="36" spans="1:11" ht="29" x14ac:dyDescent="0.35">
      <c r="A36" s="57">
        <v>35</v>
      </c>
      <c r="B36" s="72" t="s">
        <v>147</v>
      </c>
      <c r="C36" s="53" t="s">
        <v>69</v>
      </c>
      <c r="D36" s="35"/>
      <c r="E36" s="79"/>
      <c r="F36" s="79"/>
      <c r="G36" s="80"/>
      <c r="H36" s="47" t="str">
        <f t="shared" si="2"/>
        <v/>
      </c>
      <c r="I36" s="43">
        <f>'P01'!E36</f>
        <v>0</v>
      </c>
      <c r="J36" s="48">
        <f>'P02'!E36</f>
        <v>0</v>
      </c>
      <c r="K36" s="48">
        <f t="shared" si="3"/>
        <v>0</v>
      </c>
    </row>
    <row r="37" spans="1:11" ht="29" x14ac:dyDescent="0.35">
      <c r="A37" s="57">
        <v>36</v>
      </c>
      <c r="B37" s="72" t="s">
        <v>148</v>
      </c>
      <c r="C37" s="53" t="s">
        <v>70</v>
      </c>
      <c r="D37" s="35"/>
      <c r="E37" s="79"/>
      <c r="F37" s="79"/>
      <c r="G37" s="80"/>
      <c r="H37" s="47" t="str">
        <f t="shared" si="2"/>
        <v/>
      </c>
      <c r="I37" s="43">
        <f>'P01'!E37</f>
        <v>0</v>
      </c>
      <c r="J37" s="48">
        <f>'P02'!E37</f>
        <v>0</v>
      </c>
      <c r="K37" s="48">
        <f t="shared" si="3"/>
        <v>0</v>
      </c>
    </row>
    <row r="38" spans="1:11" ht="43.5" x14ac:dyDescent="0.35">
      <c r="A38" s="57">
        <v>37</v>
      </c>
      <c r="B38" s="72" t="s">
        <v>149</v>
      </c>
      <c r="C38" s="53" t="s">
        <v>71</v>
      </c>
      <c r="D38" s="35"/>
      <c r="E38" s="79"/>
      <c r="F38" s="79"/>
      <c r="G38" s="81"/>
      <c r="H38" s="47" t="str">
        <f t="shared" si="2"/>
        <v/>
      </c>
      <c r="I38" s="43">
        <f>'P01'!E38</f>
        <v>0</v>
      </c>
      <c r="J38" s="48">
        <f>'P02'!E38</f>
        <v>0</v>
      </c>
      <c r="K38" s="48">
        <f t="shared" si="3"/>
        <v>0</v>
      </c>
    </row>
    <row r="39" spans="1:11" ht="43.5" x14ac:dyDescent="0.35">
      <c r="A39" s="57">
        <v>38</v>
      </c>
      <c r="B39" s="72" t="s">
        <v>150</v>
      </c>
      <c r="C39" s="53" t="s">
        <v>72</v>
      </c>
      <c r="D39" s="35"/>
      <c r="E39" s="79"/>
      <c r="F39" s="79"/>
      <c r="G39" s="71"/>
      <c r="H39" s="47" t="str">
        <f t="shared" si="2"/>
        <v/>
      </c>
      <c r="I39" s="43">
        <f>'P01'!E39</f>
        <v>0</v>
      </c>
      <c r="J39" s="48">
        <f>'P02'!E39</f>
        <v>0</v>
      </c>
      <c r="K39" s="48">
        <f t="shared" si="3"/>
        <v>0</v>
      </c>
    </row>
    <row r="40" spans="1:11" x14ac:dyDescent="0.35">
      <c r="A40" s="57">
        <v>39</v>
      </c>
      <c r="B40" s="72" t="s">
        <v>151</v>
      </c>
      <c r="C40" s="53" t="s">
        <v>73</v>
      </c>
      <c r="D40" s="35"/>
      <c r="E40" s="79"/>
      <c r="F40" s="79"/>
      <c r="G40" s="80"/>
      <c r="H40" s="47" t="str">
        <f t="shared" si="2"/>
        <v/>
      </c>
      <c r="I40" s="43">
        <f>'P01'!E40</f>
        <v>0</v>
      </c>
      <c r="J40" s="48">
        <f>'P02'!E40</f>
        <v>0</v>
      </c>
      <c r="K40" s="48">
        <f t="shared" si="3"/>
        <v>0</v>
      </c>
    </row>
    <row r="41" spans="1:11" ht="29" x14ac:dyDescent="0.35">
      <c r="A41" s="57">
        <v>40</v>
      </c>
      <c r="B41" s="72" t="s">
        <v>152</v>
      </c>
      <c r="C41" s="53" t="s">
        <v>74</v>
      </c>
      <c r="D41" s="35"/>
      <c r="E41" s="79"/>
      <c r="F41" s="79"/>
      <c r="G41" s="71"/>
      <c r="H41" s="47" t="str">
        <f t="shared" si="2"/>
        <v/>
      </c>
      <c r="I41" s="43">
        <f>'P01'!E41</f>
        <v>0</v>
      </c>
      <c r="J41" s="48">
        <f>'P02'!E41</f>
        <v>0</v>
      </c>
      <c r="K41" s="48">
        <f t="shared" si="3"/>
        <v>0</v>
      </c>
    </row>
    <row r="42" spans="1:11" ht="29" x14ac:dyDescent="0.35">
      <c r="A42" s="57">
        <v>41</v>
      </c>
      <c r="B42" s="72" t="s">
        <v>153</v>
      </c>
      <c r="C42" s="53" t="s">
        <v>75</v>
      </c>
      <c r="D42" s="35"/>
      <c r="E42" s="79"/>
      <c r="F42" s="79"/>
      <c r="G42" s="71"/>
      <c r="H42" s="47" t="str">
        <f t="shared" si="2"/>
        <v/>
      </c>
      <c r="I42" s="43">
        <f>'P01'!E42</f>
        <v>0</v>
      </c>
      <c r="J42" s="48">
        <f>'P02'!E42</f>
        <v>0</v>
      </c>
      <c r="K42" s="48">
        <f t="shared" si="3"/>
        <v>0</v>
      </c>
    </row>
    <row r="43" spans="1:11" ht="29" x14ac:dyDescent="0.35">
      <c r="A43" s="57">
        <v>42</v>
      </c>
      <c r="B43" s="72" t="s">
        <v>154</v>
      </c>
      <c r="C43" s="53" t="s">
        <v>76</v>
      </c>
      <c r="D43" s="35"/>
      <c r="E43" s="79"/>
      <c r="F43" s="79"/>
      <c r="G43" s="71"/>
      <c r="H43" s="47" t="str">
        <f t="shared" si="2"/>
        <v/>
      </c>
      <c r="I43" s="43">
        <f>'P01'!E43</f>
        <v>0</v>
      </c>
      <c r="J43" s="48">
        <f>'P02'!E43</f>
        <v>0</v>
      </c>
      <c r="K43" s="48">
        <f t="shared" si="3"/>
        <v>0</v>
      </c>
    </row>
    <row r="44" spans="1:11" ht="29" x14ac:dyDescent="0.35">
      <c r="A44" s="57">
        <v>43</v>
      </c>
      <c r="B44" s="72" t="s">
        <v>155</v>
      </c>
      <c r="C44" s="53" t="s">
        <v>77</v>
      </c>
      <c r="D44" s="35">
        <f>IF(OR(E43="NA",E43="NC"),"NA",T51)</f>
        <v>0</v>
      </c>
      <c r="E44" s="79"/>
      <c r="F44" s="79"/>
      <c r="G44" s="71"/>
      <c r="H44" s="47" t="str">
        <f t="shared" si="2"/>
        <v/>
      </c>
      <c r="I44" s="43">
        <f>'P01'!E44</f>
        <v>0</v>
      </c>
      <c r="J44" s="48">
        <f>'P02'!E44</f>
        <v>0</v>
      </c>
      <c r="K44" s="48">
        <f t="shared" si="3"/>
        <v>0</v>
      </c>
    </row>
    <row r="45" spans="1:11" ht="29" x14ac:dyDescent="0.35">
      <c r="A45" s="57">
        <v>44</v>
      </c>
      <c r="B45" s="72" t="s">
        <v>156</v>
      </c>
      <c r="C45" s="53" t="s">
        <v>78</v>
      </c>
      <c r="D45" s="35">
        <f>IF(OR(E43="NA",E43="NC"),"NA",T52)</f>
        <v>0</v>
      </c>
      <c r="E45" s="79"/>
      <c r="F45" s="79"/>
      <c r="G45" s="71"/>
      <c r="H45" s="47" t="str">
        <f t="shared" si="2"/>
        <v/>
      </c>
      <c r="I45" s="43">
        <f>'P01'!E45</f>
        <v>0</v>
      </c>
      <c r="J45" s="48">
        <f>'P02'!E45</f>
        <v>0</v>
      </c>
      <c r="K45" s="48">
        <f t="shared" si="3"/>
        <v>0</v>
      </c>
    </row>
    <row r="46" spans="1:11" ht="29" x14ac:dyDescent="0.35">
      <c r="A46" s="57">
        <v>45</v>
      </c>
      <c r="B46" s="72" t="s">
        <v>157</v>
      </c>
      <c r="C46" s="53" t="s">
        <v>79</v>
      </c>
      <c r="D46" s="35"/>
      <c r="E46" s="79"/>
      <c r="F46" s="79"/>
      <c r="G46" s="71"/>
      <c r="H46" s="47" t="str">
        <f t="shared" si="2"/>
        <v/>
      </c>
      <c r="I46" s="43">
        <f>'P01'!E46</f>
        <v>0</v>
      </c>
      <c r="J46" s="48">
        <f>'P02'!E46</f>
        <v>0</v>
      </c>
      <c r="K46" s="48">
        <f t="shared" si="3"/>
        <v>0</v>
      </c>
    </row>
    <row r="47" spans="1:11" ht="58" x14ac:dyDescent="0.35">
      <c r="A47" s="57">
        <v>46</v>
      </c>
      <c r="B47" s="72" t="s">
        <v>110</v>
      </c>
      <c r="C47" s="69" t="s">
        <v>80</v>
      </c>
      <c r="D47" s="35"/>
      <c r="E47" s="79"/>
      <c r="F47" s="79"/>
      <c r="G47" s="71"/>
      <c r="H47" s="47" t="str">
        <f t="shared" si="2"/>
        <v/>
      </c>
      <c r="I47" s="43">
        <f>'P01'!E47</f>
        <v>0</v>
      </c>
      <c r="J47" s="48">
        <f>'P02'!E47</f>
        <v>0</v>
      </c>
      <c r="K47" s="48">
        <f t="shared" si="3"/>
        <v>0</v>
      </c>
    </row>
    <row r="48" spans="1:11" ht="29" x14ac:dyDescent="0.35">
      <c r="A48" s="57">
        <v>47</v>
      </c>
      <c r="B48" s="72" t="s">
        <v>111</v>
      </c>
      <c r="C48" s="69" t="s">
        <v>81</v>
      </c>
      <c r="D48" s="35"/>
      <c r="E48" s="79"/>
      <c r="F48" s="79"/>
      <c r="G48" s="80"/>
      <c r="H48" s="47" t="str">
        <f t="shared" si="2"/>
        <v/>
      </c>
      <c r="I48" s="43">
        <f>'P01'!E48</f>
        <v>0</v>
      </c>
      <c r="J48" s="48">
        <f>'P02'!E48</f>
        <v>0</v>
      </c>
      <c r="K48" s="48">
        <f t="shared" si="3"/>
        <v>0</v>
      </c>
    </row>
    <row r="49" spans="1:11" x14ac:dyDescent="0.35">
      <c r="A49" s="57">
        <v>48</v>
      </c>
      <c r="B49" s="72" t="s">
        <v>112</v>
      </c>
      <c r="C49" s="69" t="s">
        <v>82</v>
      </c>
      <c r="D49" s="35"/>
      <c r="E49" s="79"/>
      <c r="F49" s="79"/>
      <c r="G49" s="80"/>
      <c r="H49" s="47" t="str">
        <f t="shared" si="2"/>
        <v/>
      </c>
      <c r="I49" s="43">
        <f>'P01'!E49</f>
        <v>0</v>
      </c>
      <c r="J49" s="48">
        <f>'P02'!E49</f>
        <v>0</v>
      </c>
      <c r="K49" s="48">
        <f t="shared" si="3"/>
        <v>0</v>
      </c>
    </row>
    <row r="50" spans="1:11" ht="29" x14ac:dyDescent="0.35">
      <c r="A50" s="57">
        <v>49</v>
      </c>
      <c r="B50" s="72" t="s">
        <v>113</v>
      </c>
      <c r="C50" s="69" t="s">
        <v>83</v>
      </c>
      <c r="D50" s="35"/>
      <c r="E50" s="79"/>
      <c r="F50" s="79"/>
      <c r="G50" s="80"/>
      <c r="H50" s="47" t="str">
        <f t="shared" si="2"/>
        <v/>
      </c>
      <c r="I50" s="43">
        <f>'P01'!E50</f>
        <v>0</v>
      </c>
      <c r="J50" s="48">
        <f>'P02'!E50</f>
        <v>0</v>
      </c>
      <c r="K50" s="48">
        <f t="shared" si="3"/>
        <v>0</v>
      </c>
    </row>
    <row r="51" spans="1:11" ht="43.5" x14ac:dyDescent="0.35">
      <c r="A51" s="57">
        <v>50</v>
      </c>
      <c r="B51" s="72" t="s">
        <v>114</v>
      </c>
      <c r="C51" s="69" t="s">
        <v>84</v>
      </c>
      <c r="D51" s="35"/>
      <c r="E51" s="79"/>
      <c r="F51" s="79"/>
      <c r="G51" s="71"/>
      <c r="H51" s="47" t="str">
        <f t="shared" si="2"/>
        <v/>
      </c>
      <c r="I51" s="43">
        <f>'P01'!E51</f>
        <v>0</v>
      </c>
      <c r="J51" s="48">
        <f>'P02'!E51</f>
        <v>0</v>
      </c>
      <c r="K51" s="48">
        <f t="shared" si="3"/>
        <v>0</v>
      </c>
    </row>
    <row r="52" spans="1:11" ht="29" x14ac:dyDescent="0.35">
      <c r="A52" s="57">
        <v>51</v>
      </c>
      <c r="B52" s="72" t="s">
        <v>158</v>
      </c>
      <c r="C52" s="54" t="s">
        <v>85</v>
      </c>
      <c r="D52" s="35"/>
      <c r="E52" s="79"/>
      <c r="F52" s="79"/>
      <c r="G52" s="71"/>
      <c r="H52" s="47" t="str">
        <f t="shared" si="2"/>
        <v/>
      </c>
      <c r="I52" s="43">
        <f>'P01'!E52</f>
        <v>0</v>
      </c>
      <c r="J52" s="48">
        <f>'P02'!E52</f>
        <v>0</v>
      </c>
      <c r="K52" s="48">
        <f t="shared" si="3"/>
        <v>0</v>
      </c>
    </row>
    <row r="53" spans="1:11" ht="29" x14ac:dyDescent="0.35">
      <c r="A53" s="57">
        <v>52</v>
      </c>
      <c r="B53" s="72" t="s">
        <v>159</v>
      </c>
      <c r="C53" s="54" t="s">
        <v>86</v>
      </c>
      <c r="D53" s="35"/>
      <c r="E53" s="79"/>
      <c r="F53" s="79"/>
      <c r="G53" s="71"/>
      <c r="H53" s="47" t="str">
        <f t="shared" si="2"/>
        <v/>
      </c>
      <c r="I53" s="43">
        <f>'P01'!E53</f>
        <v>0</v>
      </c>
      <c r="J53" s="48">
        <f>'P02'!E53</f>
        <v>0</v>
      </c>
      <c r="K53" s="48">
        <f t="shared" si="3"/>
        <v>0</v>
      </c>
    </row>
    <row r="54" spans="1:11" ht="29" x14ac:dyDescent="0.35">
      <c r="A54" s="43">
        <v>53</v>
      </c>
      <c r="B54" s="72" t="s">
        <v>160</v>
      </c>
      <c r="C54" s="54" t="s">
        <v>87</v>
      </c>
      <c r="D54" s="35"/>
      <c r="E54" s="79"/>
      <c r="F54" s="79"/>
      <c r="G54" s="71"/>
      <c r="H54" s="47" t="str">
        <f t="shared" si="2"/>
        <v/>
      </c>
      <c r="I54" s="43">
        <f>'P01'!E54</f>
        <v>0</v>
      </c>
      <c r="J54" s="48">
        <f>'P02'!E54</f>
        <v>0</v>
      </c>
      <c r="K54" s="48">
        <f t="shared" si="3"/>
        <v>0</v>
      </c>
    </row>
  </sheetData>
  <autoFilter ref="A1:K1" xr:uid="{E08E7402-850D-47EF-A3D5-79EB035C8308}">
    <sortState xmlns:xlrd2="http://schemas.microsoft.com/office/spreadsheetml/2017/richdata2" ref="A2:K54">
      <sortCondition ref="A1"/>
    </sortState>
  </autoFilter>
  <conditionalFormatting sqref="A1">
    <cfRule type="duplicateValues" dxfId="9" priority="9"/>
  </conditionalFormatting>
  <conditionalFormatting sqref="A2:A53">
    <cfRule type="duplicateValues" dxfId="8" priority="3"/>
  </conditionalFormatting>
  <conditionalFormatting sqref="A55:A1048576">
    <cfRule type="duplicateValues" dxfId="7" priority="76"/>
  </conditionalFormatting>
  <conditionalFormatting sqref="D1:D1048576">
    <cfRule type="cellIs" dxfId="6" priority="6" operator="equal">
      <formula>"NA"</formula>
    </cfRule>
  </conditionalFormatting>
  <conditionalFormatting sqref="E1">
    <cfRule type="cellIs" dxfId="5" priority="5" operator="equal">
      <formula>"NT"</formula>
    </cfRule>
  </conditionalFormatting>
  <conditionalFormatting sqref="E2:E54">
    <cfRule type="cellIs" dxfId="4" priority="2" operator="equal">
      <formula>"NT"</formula>
    </cfRule>
  </conditionalFormatting>
  <conditionalFormatting sqref="H1">
    <cfRule type="duplicateValues" dxfId="3" priority="8"/>
  </conditionalFormatting>
  <conditionalFormatting sqref="H2:H54">
    <cfRule type="notContainsBlanks" dxfId="2" priority="73">
      <formula>LEN(TRIM(H2))&gt;0</formula>
    </cfRule>
  </conditionalFormatting>
  <conditionalFormatting sqref="H2:H1048576">
    <cfRule type="notContainsBlanks" priority="74">
      <formula>LEN(TRIM(H2))&gt;0</formula>
    </cfRule>
  </conditionalFormatting>
  <conditionalFormatting sqref="I1:K1">
    <cfRule type="duplicateValues" dxfId="1" priority="10"/>
  </conditionalFormatting>
  <conditionalFormatting sqref="I1:K1048576">
    <cfRule type="cellIs" dxfId="0" priority="7" operator="equal">
      <formula>"NC"</formula>
    </cfRule>
  </conditionalFormatting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A6393-C6C8-4986-A312-FDD4A51079A5}">
  <sheetPr>
    <tabColor rgb="FFFFC000"/>
  </sheetPr>
  <dimension ref="A1:E299"/>
  <sheetViews>
    <sheetView zoomScale="115" zoomScaleNormal="115" workbookViewId="0">
      <selection activeCell="D17" sqref="D17"/>
    </sheetView>
  </sheetViews>
  <sheetFormatPr defaultRowHeight="15.5" x14ac:dyDescent="0.35"/>
  <cols>
    <col min="2" max="2" width="8.84375" style="60"/>
    <col min="3" max="3" width="12.07421875" style="50" bestFit="1" customWidth="1"/>
    <col min="4" max="4" width="68.765625" style="39" customWidth="1"/>
    <col min="5" max="5" width="53.84375" customWidth="1"/>
  </cols>
  <sheetData>
    <row r="1" spans="1:5" x14ac:dyDescent="0.35">
      <c r="A1" s="74" t="s">
        <v>106</v>
      </c>
      <c r="B1" s="74" t="s">
        <v>34</v>
      </c>
      <c r="C1" s="75" t="s">
        <v>103</v>
      </c>
      <c r="D1" s="76" t="s">
        <v>107</v>
      </c>
      <c r="E1" s="77" t="s">
        <v>108</v>
      </c>
    </row>
    <row r="2" spans="1:5" x14ac:dyDescent="0.35">
      <c r="A2" s="3" t="str">
        <f>"P01"</f>
        <v>P01</v>
      </c>
      <c r="B2" s="73" t="s">
        <v>115</v>
      </c>
      <c r="C2">
        <v>1</v>
      </c>
      <c r="D2" s="39">
        <f>VLOOKUP(C2,'P01'!A:G,7,FALSE)</f>
        <v>0</v>
      </c>
    </row>
    <row r="3" spans="1:5" x14ac:dyDescent="0.35">
      <c r="A3" s="3" t="str">
        <f t="shared" ref="A3:A53" si="0">"P01"</f>
        <v>P01</v>
      </c>
      <c r="B3" s="70" t="s">
        <v>116</v>
      </c>
      <c r="C3">
        <v>2</v>
      </c>
      <c r="D3" s="39">
        <f>VLOOKUP(C3,'P01'!A:G,7,FALSE)</f>
        <v>0</v>
      </c>
    </row>
    <row r="4" spans="1:5" x14ac:dyDescent="0.35">
      <c r="A4" s="3" t="str">
        <f t="shared" si="0"/>
        <v>P01</v>
      </c>
      <c r="B4" s="70" t="s">
        <v>117</v>
      </c>
      <c r="C4">
        <v>3</v>
      </c>
      <c r="D4" s="39">
        <f>VLOOKUP(C4,'P01'!A:G,7,FALSE)</f>
        <v>0</v>
      </c>
    </row>
    <row r="5" spans="1:5" x14ac:dyDescent="0.35">
      <c r="A5" s="3" t="str">
        <f t="shared" si="0"/>
        <v>P01</v>
      </c>
      <c r="B5" s="70" t="s">
        <v>118</v>
      </c>
      <c r="C5">
        <v>4</v>
      </c>
      <c r="D5" s="39">
        <f>VLOOKUP(C5,'P01'!A:G,7,FALSE)</f>
        <v>0</v>
      </c>
    </row>
    <row r="6" spans="1:5" x14ac:dyDescent="0.35">
      <c r="A6" s="3" t="str">
        <f t="shared" si="0"/>
        <v>P01</v>
      </c>
      <c r="B6" s="70" t="s">
        <v>119</v>
      </c>
      <c r="C6">
        <v>5</v>
      </c>
      <c r="D6" s="39">
        <f>VLOOKUP(C6,'P01'!A:G,7,FALSE)</f>
        <v>0</v>
      </c>
    </row>
    <row r="7" spans="1:5" x14ac:dyDescent="0.35">
      <c r="A7" s="3" t="str">
        <f t="shared" si="0"/>
        <v>P01</v>
      </c>
      <c r="B7" s="70" t="s">
        <v>120</v>
      </c>
      <c r="C7">
        <v>6</v>
      </c>
      <c r="D7" s="39">
        <f>VLOOKUP(C7,'P01'!A:G,7,FALSE)</f>
        <v>0</v>
      </c>
    </row>
    <row r="8" spans="1:5" x14ac:dyDescent="0.35">
      <c r="A8" s="3" t="str">
        <f t="shared" si="0"/>
        <v>P01</v>
      </c>
      <c r="B8" s="70" t="s">
        <v>121</v>
      </c>
      <c r="C8">
        <v>7</v>
      </c>
      <c r="D8" s="39">
        <f>VLOOKUP(C8,'P01'!A:G,7,FALSE)</f>
        <v>0</v>
      </c>
    </row>
    <row r="9" spans="1:5" x14ac:dyDescent="0.35">
      <c r="A9" s="3" t="str">
        <f t="shared" si="0"/>
        <v>P01</v>
      </c>
      <c r="B9" s="70">
        <v>2.1</v>
      </c>
      <c r="C9">
        <v>8</v>
      </c>
      <c r="D9" s="39">
        <f>VLOOKUP(C9,'P01'!A:G,7,FALSE)</f>
        <v>0</v>
      </c>
    </row>
    <row r="10" spans="1:5" x14ac:dyDescent="0.35">
      <c r="A10" s="43" t="str">
        <f t="shared" si="0"/>
        <v>P01</v>
      </c>
      <c r="B10" s="70" t="s">
        <v>122</v>
      </c>
      <c r="C10">
        <v>9</v>
      </c>
      <c r="D10" s="39">
        <f>VLOOKUP(C10,'P01'!A:G,7,FALSE)</f>
        <v>0</v>
      </c>
    </row>
    <row r="11" spans="1:5" x14ac:dyDescent="0.35">
      <c r="A11" s="3" t="str">
        <f t="shared" si="0"/>
        <v>P01</v>
      </c>
      <c r="B11" s="70" t="s">
        <v>123</v>
      </c>
      <c r="C11">
        <v>10</v>
      </c>
      <c r="D11" s="39">
        <f>VLOOKUP(C11,'P01'!A:G,7,FALSE)</f>
        <v>0</v>
      </c>
    </row>
    <row r="12" spans="1:5" x14ac:dyDescent="0.35">
      <c r="A12" s="3" t="str">
        <f t="shared" si="0"/>
        <v>P01</v>
      </c>
      <c r="B12" s="70" t="s">
        <v>124</v>
      </c>
      <c r="C12">
        <v>11</v>
      </c>
      <c r="D12" s="39">
        <f>VLOOKUP(C12,'P01'!A:G,7,FALSE)</f>
        <v>0</v>
      </c>
    </row>
    <row r="13" spans="1:5" x14ac:dyDescent="0.35">
      <c r="A13" s="3" t="str">
        <f t="shared" si="0"/>
        <v>P01</v>
      </c>
      <c r="B13" s="70" t="s">
        <v>125</v>
      </c>
      <c r="C13">
        <v>12</v>
      </c>
      <c r="D13" s="39">
        <f>VLOOKUP(C13,'P01'!A:G,7,FALSE)</f>
        <v>0</v>
      </c>
    </row>
    <row r="14" spans="1:5" x14ac:dyDescent="0.35">
      <c r="A14" s="3" t="str">
        <f t="shared" si="0"/>
        <v>P01</v>
      </c>
      <c r="B14" s="70" t="s">
        <v>126</v>
      </c>
      <c r="C14">
        <v>13</v>
      </c>
      <c r="D14" s="39">
        <f>VLOOKUP(C14,'P01'!A:G,7,FALSE)</f>
        <v>0</v>
      </c>
    </row>
    <row r="15" spans="1:5" x14ac:dyDescent="0.35">
      <c r="A15" s="3" t="str">
        <f t="shared" si="0"/>
        <v>P01</v>
      </c>
      <c r="B15" s="70" t="s">
        <v>127</v>
      </c>
      <c r="C15">
        <v>14</v>
      </c>
      <c r="D15" s="39">
        <f>VLOOKUP(C15,'P01'!A:G,7,FALSE)</f>
        <v>0</v>
      </c>
    </row>
    <row r="16" spans="1:5" x14ac:dyDescent="0.35">
      <c r="A16" s="3" t="str">
        <f t="shared" si="0"/>
        <v>P01</v>
      </c>
      <c r="B16" s="70" t="s">
        <v>128</v>
      </c>
      <c r="C16">
        <v>15</v>
      </c>
      <c r="D16" s="39">
        <f>VLOOKUP(C16,'P01'!A:G,7,FALSE)</f>
        <v>0</v>
      </c>
    </row>
    <row r="17" spans="1:4" x14ac:dyDescent="0.35">
      <c r="A17" s="3" t="str">
        <f t="shared" si="0"/>
        <v>P01</v>
      </c>
      <c r="B17" s="70" t="s">
        <v>129</v>
      </c>
      <c r="C17">
        <v>16</v>
      </c>
      <c r="D17" s="39">
        <f>VLOOKUP(C17,'P01'!A:G,7,FALSE)</f>
        <v>0</v>
      </c>
    </row>
    <row r="18" spans="1:4" x14ac:dyDescent="0.35">
      <c r="A18" s="3" t="str">
        <f t="shared" si="0"/>
        <v>P01</v>
      </c>
      <c r="B18" s="70" t="s">
        <v>130</v>
      </c>
      <c r="C18">
        <v>17</v>
      </c>
      <c r="D18" s="39">
        <f>VLOOKUP(C18,'P01'!A:G,7,FALSE)</f>
        <v>0</v>
      </c>
    </row>
    <row r="19" spans="1:4" x14ac:dyDescent="0.35">
      <c r="A19" s="3" t="str">
        <f t="shared" si="0"/>
        <v>P01</v>
      </c>
      <c r="B19" s="70" t="s">
        <v>131</v>
      </c>
      <c r="C19">
        <v>18</v>
      </c>
      <c r="D19" s="39">
        <f>VLOOKUP(C19,'P01'!A:G,7,FALSE)</f>
        <v>0</v>
      </c>
    </row>
    <row r="20" spans="1:4" x14ac:dyDescent="0.35">
      <c r="A20" s="3" t="str">
        <f t="shared" si="0"/>
        <v>P01</v>
      </c>
      <c r="B20" s="70" t="s">
        <v>132</v>
      </c>
      <c r="C20">
        <v>19</v>
      </c>
      <c r="D20" s="39">
        <f>VLOOKUP(C20,'P01'!A:G,7,FALSE)</f>
        <v>0</v>
      </c>
    </row>
    <row r="21" spans="1:4" x14ac:dyDescent="0.35">
      <c r="A21" s="3" t="str">
        <f t="shared" si="0"/>
        <v>P01</v>
      </c>
      <c r="B21" s="70" t="s">
        <v>133</v>
      </c>
      <c r="C21">
        <v>20</v>
      </c>
      <c r="D21" s="39">
        <f>VLOOKUP(C21,'P01'!A:G,7,FALSE)</f>
        <v>0</v>
      </c>
    </row>
    <row r="22" spans="1:4" x14ac:dyDescent="0.35">
      <c r="A22" s="3" t="str">
        <f t="shared" si="0"/>
        <v>P01</v>
      </c>
      <c r="B22" s="70" t="s">
        <v>134</v>
      </c>
      <c r="C22">
        <v>21</v>
      </c>
      <c r="D22" s="39">
        <f>VLOOKUP(C22,'P01'!A:G,7,FALSE)</f>
        <v>0</v>
      </c>
    </row>
    <row r="23" spans="1:4" x14ac:dyDescent="0.35">
      <c r="A23" s="43" t="str">
        <f t="shared" si="0"/>
        <v>P01</v>
      </c>
      <c r="B23" s="70" t="s">
        <v>135</v>
      </c>
      <c r="C23">
        <v>22</v>
      </c>
      <c r="D23" s="39">
        <f>VLOOKUP(C23,'P01'!A:G,7,FALSE)</f>
        <v>0</v>
      </c>
    </row>
    <row r="24" spans="1:4" x14ac:dyDescent="0.35">
      <c r="A24" s="3" t="str">
        <f t="shared" si="0"/>
        <v>P01</v>
      </c>
      <c r="B24" s="70" t="s">
        <v>136</v>
      </c>
      <c r="C24">
        <v>23</v>
      </c>
      <c r="D24" s="39">
        <f>VLOOKUP(C24,'P01'!A:G,7,FALSE)</f>
        <v>0</v>
      </c>
    </row>
    <row r="25" spans="1:4" x14ac:dyDescent="0.35">
      <c r="A25" s="3" t="str">
        <f t="shared" si="0"/>
        <v>P01</v>
      </c>
      <c r="B25" s="70" t="s">
        <v>137</v>
      </c>
      <c r="C25">
        <v>24</v>
      </c>
      <c r="D25" s="39">
        <f>VLOOKUP(C25,'P01'!A:G,7,FALSE)</f>
        <v>0</v>
      </c>
    </row>
    <row r="26" spans="1:4" x14ac:dyDescent="0.35">
      <c r="A26" s="3" t="str">
        <f t="shared" si="0"/>
        <v>P01</v>
      </c>
      <c r="B26" s="70" t="s">
        <v>138</v>
      </c>
      <c r="C26">
        <v>25</v>
      </c>
      <c r="D26" s="39">
        <f>VLOOKUP(C26,'P01'!A:G,7,FALSE)</f>
        <v>0</v>
      </c>
    </row>
    <row r="27" spans="1:4" x14ac:dyDescent="0.35">
      <c r="A27" s="3" t="str">
        <f t="shared" si="0"/>
        <v>P01</v>
      </c>
      <c r="B27" s="70" t="s">
        <v>139</v>
      </c>
      <c r="C27">
        <v>26</v>
      </c>
      <c r="D27" s="39">
        <f>VLOOKUP(C27,'P01'!A:G,7,FALSE)</f>
        <v>0</v>
      </c>
    </row>
    <row r="28" spans="1:4" x14ac:dyDescent="0.35">
      <c r="A28" s="3" t="str">
        <f t="shared" si="0"/>
        <v>P01</v>
      </c>
      <c r="B28" s="70" t="s">
        <v>140</v>
      </c>
      <c r="C28">
        <v>27</v>
      </c>
      <c r="D28" s="39">
        <f>VLOOKUP(C28,'P01'!A:G,7,FALSE)</f>
        <v>0</v>
      </c>
    </row>
    <row r="29" spans="1:4" x14ac:dyDescent="0.35">
      <c r="A29" s="3" t="str">
        <f t="shared" si="0"/>
        <v>P01</v>
      </c>
      <c r="B29" s="70" t="s">
        <v>141</v>
      </c>
      <c r="C29">
        <v>28</v>
      </c>
      <c r="D29" s="39">
        <f>VLOOKUP(C29,'P01'!A:G,7,FALSE)</f>
        <v>0</v>
      </c>
    </row>
    <row r="30" spans="1:4" x14ac:dyDescent="0.35">
      <c r="A30" s="3" t="str">
        <f t="shared" si="0"/>
        <v>P01</v>
      </c>
      <c r="B30" s="70" t="s">
        <v>142</v>
      </c>
      <c r="C30">
        <v>29</v>
      </c>
      <c r="D30" s="39">
        <f>VLOOKUP(C30,'P01'!A:G,7,FALSE)</f>
        <v>0</v>
      </c>
    </row>
    <row r="31" spans="1:4" x14ac:dyDescent="0.35">
      <c r="A31" s="3" t="str">
        <f t="shared" si="0"/>
        <v>P01</v>
      </c>
      <c r="B31" s="70" t="s">
        <v>143</v>
      </c>
      <c r="C31">
        <v>30</v>
      </c>
      <c r="D31" s="39">
        <f>VLOOKUP(C31,'P01'!A:G,7,FALSE)</f>
        <v>0</v>
      </c>
    </row>
    <row r="32" spans="1:4" x14ac:dyDescent="0.35">
      <c r="A32" s="3" t="str">
        <f t="shared" si="0"/>
        <v>P01</v>
      </c>
      <c r="B32" s="70" t="s">
        <v>144</v>
      </c>
      <c r="C32">
        <v>31</v>
      </c>
      <c r="D32" s="39">
        <f>VLOOKUP(C32,'P01'!A:G,7,FALSE)</f>
        <v>0</v>
      </c>
    </row>
    <row r="33" spans="1:4" x14ac:dyDescent="0.35">
      <c r="A33" s="43" t="str">
        <f t="shared" si="0"/>
        <v>P01</v>
      </c>
      <c r="B33" s="70" t="s">
        <v>145</v>
      </c>
      <c r="C33">
        <v>32</v>
      </c>
      <c r="D33" s="39">
        <f>VLOOKUP(C33,'P01'!A:G,7,FALSE)</f>
        <v>0</v>
      </c>
    </row>
    <row r="34" spans="1:4" x14ac:dyDescent="0.35">
      <c r="A34" s="3" t="str">
        <f t="shared" si="0"/>
        <v>P01</v>
      </c>
      <c r="B34" s="70" t="s">
        <v>146</v>
      </c>
      <c r="C34">
        <v>33</v>
      </c>
      <c r="D34" s="39">
        <f>VLOOKUP(C34,'P01'!A:G,7,FALSE)</f>
        <v>0</v>
      </c>
    </row>
    <row r="35" spans="1:4" x14ac:dyDescent="0.35">
      <c r="A35" s="3" t="str">
        <f t="shared" si="0"/>
        <v>P01</v>
      </c>
      <c r="B35" s="70" t="s">
        <v>147</v>
      </c>
      <c r="C35">
        <v>34</v>
      </c>
      <c r="D35" s="39">
        <f>VLOOKUP(C35,'P01'!A:G,7,FALSE)</f>
        <v>0</v>
      </c>
    </row>
    <row r="36" spans="1:4" x14ac:dyDescent="0.35">
      <c r="A36" s="3" t="str">
        <f t="shared" si="0"/>
        <v>P01</v>
      </c>
      <c r="B36" s="70" t="s">
        <v>148</v>
      </c>
      <c r="C36">
        <v>35</v>
      </c>
      <c r="D36" s="39">
        <f>VLOOKUP(C36,'P01'!A:G,7,FALSE)</f>
        <v>0</v>
      </c>
    </row>
    <row r="37" spans="1:4" x14ac:dyDescent="0.35">
      <c r="A37" s="3" t="str">
        <f t="shared" si="0"/>
        <v>P01</v>
      </c>
      <c r="B37" s="70" t="s">
        <v>149</v>
      </c>
      <c r="C37">
        <v>36</v>
      </c>
      <c r="D37" s="39">
        <f>VLOOKUP(C37,'P01'!A:G,7,FALSE)</f>
        <v>0</v>
      </c>
    </row>
    <row r="38" spans="1:4" x14ac:dyDescent="0.35">
      <c r="A38" s="3" t="str">
        <f t="shared" si="0"/>
        <v>P01</v>
      </c>
      <c r="B38" s="70" t="s">
        <v>150</v>
      </c>
      <c r="C38">
        <v>37</v>
      </c>
      <c r="D38" s="39">
        <f>VLOOKUP(C38,'P01'!A:G,7,FALSE)</f>
        <v>0</v>
      </c>
    </row>
    <row r="39" spans="1:4" x14ac:dyDescent="0.35">
      <c r="A39" s="3" t="str">
        <f t="shared" si="0"/>
        <v>P01</v>
      </c>
      <c r="B39" s="70" t="s">
        <v>151</v>
      </c>
      <c r="C39">
        <v>38</v>
      </c>
      <c r="D39" s="39">
        <f>VLOOKUP(C39,'P01'!A:G,7,FALSE)</f>
        <v>0</v>
      </c>
    </row>
    <row r="40" spans="1:4" x14ac:dyDescent="0.35">
      <c r="A40" s="3" t="str">
        <f t="shared" si="0"/>
        <v>P01</v>
      </c>
      <c r="B40" s="70" t="s">
        <v>152</v>
      </c>
      <c r="C40">
        <v>39</v>
      </c>
      <c r="D40" s="39">
        <f>VLOOKUP(C40,'P01'!A:G,7,FALSE)</f>
        <v>0</v>
      </c>
    </row>
    <row r="41" spans="1:4" x14ac:dyDescent="0.35">
      <c r="A41" s="3" t="str">
        <f t="shared" si="0"/>
        <v>P01</v>
      </c>
      <c r="B41" s="70" t="s">
        <v>153</v>
      </c>
      <c r="C41">
        <v>40</v>
      </c>
      <c r="D41" s="39">
        <f>VLOOKUP(C41,'P01'!A:G,7,FALSE)</f>
        <v>0</v>
      </c>
    </row>
    <row r="42" spans="1:4" x14ac:dyDescent="0.35">
      <c r="A42" s="3" t="str">
        <f t="shared" si="0"/>
        <v>P01</v>
      </c>
      <c r="B42" s="70" t="s">
        <v>154</v>
      </c>
      <c r="C42">
        <v>41</v>
      </c>
      <c r="D42" s="39">
        <f>VLOOKUP(C42,'P01'!A:G,7,FALSE)</f>
        <v>0</v>
      </c>
    </row>
    <row r="43" spans="1:4" x14ac:dyDescent="0.35">
      <c r="A43" s="3" t="str">
        <f t="shared" si="0"/>
        <v>P01</v>
      </c>
      <c r="B43" s="70" t="s">
        <v>155</v>
      </c>
      <c r="C43">
        <v>42</v>
      </c>
      <c r="D43" s="39">
        <f>VLOOKUP(C43,'P01'!A:G,7,FALSE)</f>
        <v>0</v>
      </c>
    </row>
    <row r="44" spans="1:4" x14ac:dyDescent="0.35">
      <c r="A44" s="3" t="str">
        <f t="shared" si="0"/>
        <v>P01</v>
      </c>
      <c r="B44" s="70" t="s">
        <v>156</v>
      </c>
      <c r="C44">
        <v>43</v>
      </c>
      <c r="D44" s="39">
        <f>VLOOKUP(C44,'P01'!A:G,7,FALSE)</f>
        <v>0</v>
      </c>
    </row>
    <row r="45" spans="1:4" x14ac:dyDescent="0.35">
      <c r="A45" s="3" t="str">
        <f t="shared" si="0"/>
        <v>P01</v>
      </c>
      <c r="B45" s="70" t="s">
        <v>157</v>
      </c>
      <c r="C45">
        <v>44</v>
      </c>
      <c r="D45" s="39">
        <f>VLOOKUP(C45,'P01'!A:G,7,FALSE)</f>
        <v>0</v>
      </c>
    </row>
    <row r="46" spans="1:4" x14ac:dyDescent="0.35">
      <c r="A46" s="3" t="str">
        <f t="shared" si="0"/>
        <v>P01</v>
      </c>
      <c r="B46" s="70" t="s">
        <v>110</v>
      </c>
      <c r="C46">
        <v>45</v>
      </c>
      <c r="D46" s="39">
        <f>VLOOKUP(C46,'P01'!A:G,7,FALSE)</f>
        <v>0</v>
      </c>
    </row>
    <row r="47" spans="1:4" x14ac:dyDescent="0.35">
      <c r="A47" s="3" t="str">
        <f t="shared" si="0"/>
        <v>P01</v>
      </c>
      <c r="B47" s="70" t="s">
        <v>111</v>
      </c>
      <c r="C47">
        <v>46</v>
      </c>
      <c r="D47" s="39">
        <f>VLOOKUP(C47,'P01'!A:G,7,FALSE)</f>
        <v>0</v>
      </c>
    </row>
    <row r="48" spans="1:4" x14ac:dyDescent="0.35">
      <c r="A48" s="3" t="str">
        <f t="shared" si="0"/>
        <v>P01</v>
      </c>
      <c r="B48" s="70" t="s">
        <v>112</v>
      </c>
      <c r="C48">
        <v>47</v>
      </c>
      <c r="D48" s="39">
        <f>VLOOKUP(C48,'P01'!A:G,7,FALSE)</f>
        <v>0</v>
      </c>
    </row>
    <row r="49" spans="1:4" x14ac:dyDescent="0.35">
      <c r="A49" s="3" t="str">
        <f t="shared" si="0"/>
        <v>P01</v>
      </c>
      <c r="B49" s="70" t="s">
        <v>113</v>
      </c>
      <c r="C49">
        <v>48</v>
      </c>
      <c r="D49" s="39">
        <f>VLOOKUP(C49,'P01'!A:G,7,FALSE)</f>
        <v>0</v>
      </c>
    </row>
    <row r="50" spans="1:4" x14ac:dyDescent="0.35">
      <c r="A50" s="3" t="str">
        <f t="shared" si="0"/>
        <v>P01</v>
      </c>
      <c r="B50" s="70" t="s">
        <v>114</v>
      </c>
      <c r="C50">
        <v>49</v>
      </c>
      <c r="D50" s="39">
        <f>VLOOKUP(C50,'P01'!A:G,7,FALSE)</f>
        <v>0</v>
      </c>
    </row>
    <row r="51" spans="1:4" x14ac:dyDescent="0.35">
      <c r="A51" s="3" t="str">
        <f t="shared" si="0"/>
        <v>P01</v>
      </c>
      <c r="B51" s="70" t="s">
        <v>158</v>
      </c>
      <c r="C51">
        <v>50</v>
      </c>
      <c r="D51" s="39">
        <f>VLOOKUP(C51,'P01'!A:G,7,FALSE)</f>
        <v>0</v>
      </c>
    </row>
    <row r="52" spans="1:4" x14ac:dyDescent="0.35">
      <c r="A52" s="3" t="str">
        <f t="shared" si="0"/>
        <v>P01</v>
      </c>
      <c r="B52" s="70" t="s">
        <v>159</v>
      </c>
      <c r="C52">
        <v>51</v>
      </c>
      <c r="D52" s="39">
        <f>VLOOKUP(C52,'P01'!A:G,7,FALSE)</f>
        <v>0</v>
      </c>
    </row>
    <row r="53" spans="1:4" x14ac:dyDescent="0.35">
      <c r="A53" s="3" t="str">
        <f t="shared" si="0"/>
        <v>P01</v>
      </c>
      <c r="B53" s="70" t="s">
        <v>160</v>
      </c>
      <c r="C53">
        <v>52</v>
      </c>
      <c r="D53" s="39">
        <f>VLOOKUP(C53,'P01'!A:G,7,FALSE)</f>
        <v>0</v>
      </c>
    </row>
    <row r="54" spans="1:4" x14ac:dyDescent="0.35">
      <c r="A54" s="3" t="str">
        <f>"P02"</f>
        <v>P02</v>
      </c>
      <c r="B54" s="70" t="s">
        <v>115</v>
      </c>
      <c r="C54">
        <v>1</v>
      </c>
      <c r="D54" s="39">
        <f>VLOOKUP(C54,'P02'!A:G,7,FALSE)</f>
        <v>0</v>
      </c>
    </row>
    <row r="55" spans="1:4" x14ac:dyDescent="0.35">
      <c r="A55" s="3" t="str">
        <f t="shared" ref="A55:A105" si="1">"P02"</f>
        <v>P02</v>
      </c>
      <c r="B55" s="70" t="s">
        <v>116</v>
      </c>
      <c r="C55">
        <v>2</v>
      </c>
      <c r="D55" s="39">
        <f>VLOOKUP(C55,'P02'!A:G,7,FALSE)</f>
        <v>0</v>
      </c>
    </row>
    <row r="56" spans="1:4" x14ac:dyDescent="0.35">
      <c r="A56" s="3" t="str">
        <f t="shared" si="1"/>
        <v>P02</v>
      </c>
      <c r="B56" s="70" t="s">
        <v>117</v>
      </c>
      <c r="C56">
        <v>3</v>
      </c>
      <c r="D56" s="39">
        <f>VLOOKUP(C56,'P02'!A:G,7,FALSE)</f>
        <v>0</v>
      </c>
    </row>
    <row r="57" spans="1:4" x14ac:dyDescent="0.35">
      <c r="A57" s="3" t="str">
        <f t="shared" si="1"/>
        <v>P02</v>
      </c>
      <c r="B57" s="70" t="s">
        <v>118</v>
      </c>
      <c r="C57">
        <v>4</v>
      </c>
      <c r="D57" s="39">
        <f>VLOOKUP(C57,'P02'!A:G,7,FALSE)</f>
        <v>0</v>
      </c>
    </row>
    <row r="58" spans="1:4" x14ac:dyDescent="0.35">
      <c r="A58" s="3" t="str">
        <f t="shared" si="1"/>
        <v>P02</v>
      </c>
      <c r="B58" s="70" t="s">
        <v>119</v>
      </c>
      <c r="C58">
        <v>5</v>
      </c>
      <c r="D58" s="39">
        <f>VLOOKUP(C58,'P02'!A:G,7,FALSE)</f>
        <v>0</v>
      </c>
    </row>
    <row r="59" spans="1:4" x14ac:dyDescent="0.35">
      <c r="A59" s="3" t="str">
        <f t="shared" si="1"/>
        <v>P02</v>
      </c>
      <c r="B59" s="70" t="s">
        <v>120</v>
      </c>
      <c r="C59">
        <v>6</v>
      </c>
      <c r="D59" s="39">
        <f>VLOOKUP(C59,'P02'!A:G,7,FALSE)</f>
        <v>0</v>
      </c>
    </row>
    <row r="60" spans="1:4" x14ac:dyDescent="0.35">
      <c r="A60" s="3" t="str">
        <f t="shared" si="1"/>
        <v>P02</v>
      </c>
      <c r="B60" s="70" t="s">
        <v>121</v>
      </c>
      <c r="C60">
        <v>7</v>
      </c>
      <c r="D60" s="39">
        <f>VLOOKUP(C60,'P02'!A:G,7,FALSE)</f>
        <v>0</v>
      </c>
    </row>
    <row r="61" spans="1:4" x14ac:dyDescent="0.35">
      <c r="A61" s="3" t="str">
        <f t="shared" si="1"/>
        <v>P02</v>
      </c>
      <c r="B61" s="70">
        <v>2.1</v>
      </c>
      <c r="C61">
        <v>8</v>
      </c>
      <c r="D61" s="39">
        <f>VLOOKUP(C61,'P02'!A:G,7,FALSE)</f>
        <v>0</v>
      </c>
    </row>
    <row r="62" spans="1:4" x14ac:dyDescent="0.35">
      <c r="A62" s="3" t="str">
        <f t="shared" si="1"/>
        <v>P02</v>
      </c>
      <c r="B62" s="70" t="s">
        <v>122</v>
      </c>
      <c r="C62">
        <v>9</v>
      </c>
      <c r="D62" s="39">
        <f>VLOOKUP(C62,'P02'!A:G,7,FALSE)</f>
        <v>0</v>
      </c>
    </row>
    <row r="63" spans="1:4" x14ac:dyDescent="0.35">
      <c r="A63" s="3" t="str">
        <f t="shared" si="1"/>
        <v>P02</v>
      </c>
      <c r="B63" s="70" t="s">
        <v>123</v>
      </c>
      <c r="C63">
        <v>10</v>
      </c>
      <c r="D63" s="39">
        <f>VLOOKUP(C63,'P02'!A:G,7,FALSE)</f>
        <v>0</v>
      </c>
    </row>
    <row r="64" spans="1:4" x14ac:dyDescent="0.35">
      <c r="A64" s="3" t="str">
        <f t="shared" si="1"/>
        <v>P02</v>
      </c>
      <c r="B64" s="70" t="s">
        <v>124</v>
      </c>
      <c r="C64">
        <v>11</v>
      </c>
      <c r="D64" s="39">
        <f>VLOOKUP(C64,'P02'!A:G,7,FALSE)</f>
        <v>0</v>
      </c>
    </row>
    <row r="65" spans="1:4" x14ac:dyDescent="0.35">
      <c r="A65" s="3" t="str">
        <f t="shared" si="1"/>
        <v>P02</v>
      </c>
      <c r="B65" s="70" t="s">
        <v>125</v>
      </c>
      <c r="C65">
        <v>12</v>
      </c>
      <c r="D65" s="39">
        <f>VLOOKUP(C65,'P02'!A:G,7,FALSE)</f>
        <v>0</v>
      </c>
    </row>
    <row r="66" spans="1:4" x14ac:dyDescent="0.35">
      <c r="A66" s="3" t="str">
        <f t="shared" si="1"/>
        <v>P02</v>
      </c>
      <c r="B66" s="70" t="s">
        <v>126</v>
      </c>
      <c r="C66">
        <v>13</v>
      </c>
      <c r="D66" s="39">
        <f>VLOOKUP(C66,'P02'!A:G,7,FALSE)</f>
        <v>0</v>
      </c>
    </row>
    <row r="67" spans="1:4" x14ac:dyDescent="0.35">
      <c r="A67" s="3" t="str">
        <f t="shared" si="1"/>
        <v>P02</v>
      </c>
      <c r="B67" s="70" t="s">
        <v>127</v>
      </c>
      <c r="C67">
        <v>14</v>
      </c>
      <c r="D67" s="39">
        <f>VLOOKUP(C67,'P02'!A:G,7,FALSE)</f>
        <v>0</v>
      </c>
    </row>
    <row r="68" spans="1:4" x14ac:dyDescent="0.35">
      <c r="A68" s="3" t="str">
        <f t="shared" si="1"/>
        <v>P02</v>
      </c>
      <c r="B68" s="70" t="s">
        <v>128</v>
      </c>
      <c r="C68">
        <v>15</v>
      </c>
      <c r="D68" s="39">
        <f>VLOOKUP(C68,'P02'!A:G,7,FALSE)</f>
        <v>0</v>
      </c>
    </row>
    <row r="69" spans="1:4" x14ac:dyDescent="0.35">
      <c r="A69" s="3" t="str">
        <f t="shared" si="1"/>
        <v>P02</v>
      </c>
      <c r="B69" s="70" t="s">
        <v>129</v>
      </c>
      <c r="C69">
        <v>16</v>
      </c>
      <c r="D69" s="39">
        <f>VLOOKUP(C69,'P02'!A:G,7,FALSE)</f>
        <v>0</v>
      </c>
    </row>
    <row r="70" spans="1:4" x14ac:dyDescent="0.35">
      <c r="A70" s="3" t="str">
        <f t="shared" si="1"/>
        <v>P02</v>
      </c>
      <c r="B70" s="70" t="s">
        <v>130</v>
      </c>
      <c r="C70">
        <v>17</v>
      </c>
      <c r="D70" s="39">
        <f>VLOOKUP(C70,'P02'!A:G,7,FALSE)</f>
        <v>0</v>
      </c>
    </row>
    <row r="71" spans="1:4" x14ac:dyDescent="0.35">
      <c r="A71" s="3" t="str">
        <f t="shared" si="1"/>
        <v>P02</v>
      </c>
      <c r="B71" s="70" t="s">
        <v>131</v>
      </c>
      <c r="C71">
        <v>18</v>
      </c>
      <c r="D71" s="39">
        <f>VLOOKUP(C71,'P02'!A:G,7,FALSE)</f>
        <v>0</v>
      </c>
    </row>
    <row r="72" spans="1:4" x14ac:dyDescent="0.35">
      <c r="A72" s="3" t="str">
        <f t="shared" si="1"/>
        <v>P02</v>
      </c>
      <c r="B72" s="70" t="s">
        <v>132</v>
      </c>
      <c r="C72">
        <v>19</v>
      </c>
      <c r="D72" s="39">
        <f>VLOOKUP(C72,'P02'!A:G,7,FALSE)</f>
        <v>0</v>
      </c>
    </row>
    <row r="73" spans="1:4" x14ac:dyDescent="0.35">
      <c r="A73" s="3" t="str">
        <f t="shared" si="1"/>
        <v>P02</v>
      </c>
      <c r="B73" s="70" t="s">
        <v>133</v>
      </c>
      <c r="C73">
        <v>20</v>
      </c>
      <c r="D73" s="39">
        <f>VLOOKUP(C73,'P02'!A:G,7,FALSE)</f>
        <v>0</v>
      </c>
    </row>
    <row r="74" spans="1:4" x14ac:dyDescent="0.35">
      <c r="A74" s="3" t="str">
        <f t="shared" si="1"/>
        <v>P02</v>
      </c>
      <c r="B74" s="70" t="s">
        <v>134</v>
      </c>
      <c r="C74">
        <v>21</v>
      </c>
      <c r="D74" s="39">
        <f>VLOOKUP(C74,'P02'!A:G,7,FALSE)</f>
        <v>0</v>
      </c>
    </row>
    <row r="75" spans="1:4" x14ac:dyDescent="0.35">
      <c r="A75" s="3" t="str">
        <f t="shared" si="1"/>
        <v>P02</v>
      </c>
      <c r="B75" s="70" t="s">
        <v>135</v>
      </c>
      <c r="C75">
        <v>22</v>
      </c>
      <c r="D75" s="39">
        <f>VLOOKUP(C75,'P02'!A:G,7,FALSE)</f>
        <v>0</v>
      </c>
    </row>
    <row r="76" spans="1:4" x14ac:dyDescent="0.35">
      <c r="A76" s="3" t="str">
        <f t="shared" si="1"/>
        <v>P02</v>
      </c>
      <c r="B76" s="70" t="s">
        <v>136</v>
      </c>
      <c r="C76">
        <v>23</v>
      </c>
      <c r="D76" s="39">
        <f>VLOOKUP(C76,'P02'!A:G,7,FALSE)</f>
        <v>0</v>
      </c>
    </row>
    <row r="77" spans="1:4" x14ac:dyDescent="0.35">
      <c r="A77" s="3" t="str">
        <f t="shared" si="1"/>
        <v>P02</v>
      </c>
      <c r="B77" s="70" t="s">
        <v>137</v>
      </c>
      <c r="C77">
        <v>24</v>
      </c>
      <c r="D77" s="39">
        <f>VLOOKUP(C77,'P02'!A:G,7,FALSE)</f>
        <v>0</v>
      </c>
    </row>
    <row r="78" spans="1:4" x14ac:dyDescent="0.35">
      <c r="A78" s="3" t="str">
        <f t="shared" si="1"/>
        <v>P02</v>
      </c>
      <c r="B78" s="70" t="s">
        <v>138</v>
      </c>
      <c r="C78">
        <v>25</v>
      </c>
      <c r="D78" s="39">
        <f>VLOOKUP(C78,'P02'!A:G,7,FALSE)</f>
        <v>0</v>
      </c>
    </row>
    <row r="79" spans="1:4" x14ac:dyDescent="0.35">
      <c r="A79" s="3" t="str">
        <f t="shared" si="1"/>
        <v>P02</v>
      </c>
      <c r="B79" s="70" t="s">
        <v>139</v>
      </c>
      <c r="C79">
        <v>26</v>
      </c>
      <c r="D79" s="39">
        <f>VLOOKUP(C79,'P02'!A:G,7,FALSE)</f>
        <v>0</v>
      </c>
    </row>
    <row r="80" spans="1:4" x14ac:dyDescent="0.35">
      <c r="A80" s="3" t="str">
        <f t="shared" si="1"/>
        <v>P02</v>
      </c>
      <c r="B80" s="70" t="s">
        <v>140</v>
      </c>
      <c r="C80">
        <v>27</v>
      </c>
      <c r="D80" s="39">
        <f>VLOOKUP(C80,'P02'!A:G,7,FALSE)</f>
        <v>0</v>
      </c>
    </row>
    <row r="81" spans="1:4" x14ac:dyDescent="0.35">
      <c r="A81" s="3" t="str">
        <f t="shared" si="1"/>
        <v>P02</v>
      </c>
      <c r="B81" s="70" t="s">
        <v>141</v>
      </c>
      <c r="C81">
        <v>28</v>
      </c>
      <c r="D81" s="39">
        <f>VLOOKUP(C81,'P02'!A:G,7,FALSE)</f>
        <v>0</v>
      </c>
    </row>
    <row r="82" spans="1:4" x14ac:dyDescent="0.35">
      <c r="A82" s="3" t="str">
        <f t="shared" si="1"/>
        <v>P02</v>
      </c>
      <c r="B82" s="70" t="s">
        <v>142</v>
      </c>
      <c r="C82">
        <v>29</v>
      </c>
      <c r="D82" s="39">
        <f>VLOOKUP(C82,'P02'!A:G,7,FALSE)</f>
        <v>0</v>
      </c>
    </row>
    <row r="83" spans="1:4" x14ac:dyDescent="0.35">
      <c r="A83" s="3" t="str">
        <f t="shared" si="1"/>
        <v>P02</v>
      </c>
      <c r="B83" s="70" t="s">
        <v>143</v>
      </c>
      <c r="C83">
        <v>30</v>
      </c>
      <c r="D83" s="39">
        <f>VLOOKUP(C83,'P02'!A:G,7,FALSE)</f>
        <v>0</v>
      </c>
    </row>
    <row r="84" spans="1:4" x14ac:dyDescent="0.35">
      <c r="A84" s="3" t="str">
        <f t="shared" si="1"/>
        <v>P02</v>
      </c>
      <c r="B84" s="70" t="s">
        <v>144</v>
      </c>
      <c r="C84">
        <v>31</v>
      </c>
      <c r="D84" s="39">
        <f>VLOOKUP(C84,'P02'!A:G,7,FALSE)</f>
        <v>0</v>
      </c>
    </row>
    <row r="85" spans="1:4" x14ac:dyDescent="0.35">
      <c r="A85" s="3" t="str">
        <f t="shared" si="1"/>
        <v>P02</v>
      </c>
      <c r="B85" s="70" t="s">
        <v>145</v>
      </c>
      <c r="C85">
        <v>32</v>
      </c>
      <c r="D85" s="39">
        <f>VLOOKUP(C85,'P02'!A:G,7,FALSE)</f>
        <v>0</v>
      </c>
    </row>
    <row r="86" spans="1:4" x14ac:dyDescent="0.35">
      <c r="A86" s="3" t="str">
        <f t="shared" si="1"/>
        <v>P02</v>
      </c>
      <c r="B86" s="70" t="s">
        <v>146</v>
      </c>
      <c r="C86">
        <v>33</v>
      </c>
      <c r="D86" s="39">
        <f>VLOOKUP(C86,'P02'!A:G,7,FALSE)</f>
        <v>0</v>
      </c>
    </row>
    <row r="87" spans="1:4" x14ac:dyDescent="0.35">
      <c r="A87" s="3" t="str">
        <f t="shared" si="1"/>
        <v>P02</v>
      </c>
      <c r="B87" s="70" t="s">
        <v>147</v>
      </c>
      <c r="C87">
        <v>34</v>
      </c>
      <c r="D87" s="39">
        <f>VLOOKUP(C87,'P02'!A:G,7,FALSE)</f>
        <v>0</v>
      </c>
    </row>
    <row r="88" spans="1:4" x14ac:dyDescent="0.35">
      <c r="A88" s="3" t="str">
        <f t="shared" si="1"/>
        <v>P02</v>
      </c>
      <c r="B88" s="70" t="s">
        <v>148</v>
      </c>
      <c r="C88">
        <v>35</v>
      </c>
      <c r="D88" s="39">
        <f>VLOOKUP(C88,'P02'!A:G,7,FALSE)</f>
        <v>0</v>
      </c>
    </row>
    <row r="89" spans="1:4" x14ac:dyDescent="0.35">
      <c r="A89" s="3" t="str">
        <f t="shared" si="1"/>
        <v>P02</v>
      </c>
      <c r="B89" s="70" t="s">
        <v>149</v>
      </c>
      <c r="C89">
        <v>36</v>
      </c>
      <c r="D89" s="39">
        <f>VLOOKUP(C89,'P02'!A:G,7,FALSE)</f>
        <v>0</v>
      </c>
    </row>
    <row r="90" spans="1:4" x14ac:dyDescent="0.35">
      <c r="A90" s="3" t="str">
        <f t="shared" si="1"/>
        <v>P02</v>
      </c>
      <c r="B90" s="70" t="s">
        <v>150</v>
      </c>
      <c r="C90">
        <v>37</v>
      </c>
      <c r="D90" s="39">
        <f>VLOOKUP(C90,'P02'!A:G,7,FALSE)</f>
        <v>0</v>
      </c>
    </row>
    <row r="91" spans="1:4" x14ac:dyDescent="0.35">
      <c r="A91" s="3" t="str">
        <f t="shared" si="1"/>
        <v>P02</v>
      </c>
      <c r="B91" s="70" t="s">
        <v>151</v>
      </c>
      <c r="C91">
        <v>38</v>
      </c>
      <c r="D91" s="39">
        <f>VLOOKUP(C91,'P02'!A:G,7,FALSE)</f>
        <v>0</v>
      </c>
    </row>
    <row r="92" spans="1:4" x14ac:dyDescent="0.35">
      <c r="A92" s="3" t="str">
        <f t="shared" si="1"/>
        <v>P02</v>
      </c>
      <c r="B92" s="70" t="s">
        <v>152</v>
      </c>
      <c r="C92">
        <v>39</v>
      </c>
      <c r="D92" s="39">
        <f>VLOOKUP(C92,'P02'!A:G,7,FALSE)</f>
        <v>0</v>
      </c>
    </row>
    <row r="93" spans="1:4" x14ac:dyDescent="0.35">
      <c r="A93" s="3" t="str">
        <f t="shared" si="1"/>
        <v>P02</v>
      </c>
      <c r="B93" s="70" t="s">
        <v>153</v>
      </c>
      <c r="C93">
        <v>40</v>
      </c>
      <c r="D93" s="39">
        <f>VLOOKUP(C93,'P02'!A:G,7,FALSE)</f>
        <v>0</v>
      </c>
    </row>
    <row r="94" spans="1:4" x14ac:dyDescent="0.35">
      <c r="A94" s="3" t="str">
        <f t="shared" si="1"/>
        <v>P02</v>
      </c>
      <c r="B94" s="70" t="s">
        <v>154</v>
      </c>
      <c r="C94">
        <v>41</v>
      </c>
      <c r="D94" s="39">
        <f>VLOOKUP(C94,'P02'!A:G,7,FALSE)</f>
        <v>0</v>
      </c>
    </row>
    <row r="95" spans="1:4" x14ac:dyDescent="0.35">
      <c r="A95" s="3" t="str">
        <f t="shared" si="1"/>
        <v>P02</v>
      </c>
      <c r="B95" s="70" t="s">
        <v>155</v>
      </c>
      <c r="C95">
        <v>42</v>
      </c>
      <c r="D95" s="39">
        <f>VLOOKUP(C95,'P02'!A:G,7,FALSE)</f>
        <v>0</v>
      </c>
    </row>
    <row r="96" spans="1:4" x14ac:dyDescent="0.35">
      <c r="A96" s="3" t="str">
        <f t="shared" si="1"/>
        <v>P02</v>
      </c>
      <c r="B96" s="70" t="s">
        <v>156</v>
      </c>
      <c r="C96">
        <v>43</v>
      </c>
      <c r="D96" s="39">
        <f>VLOOKUP(C96,'P02'!A:G,7,FALSE)</f>
        <v>0</v>
      </c>
    </row>
    <row r="97" spans="1:4" x14ac:dyDescent="0.35">
      <c r="A97" s="3" t="str">
        <f t="shared" si="1"/>
        <v>P02</v>
      </c>
      <c r="B97" s="70" t="s">
        <v>157</v>
      </c>
      <c r="C97">
        <v>44</v>
      </c>
      <c r="D97" s="39">
        <f>VLOOKUP(C97,'P02'!A:G,7,FALSE)</f>
        <v>0</v>
      </c>
    </row>
    <row r="98" spans="1:4" x14ac:dyDescent="0.35">
      <c r="A98" s="3" t="str">
        <f t="shared" si="1"/>
        <v>P02</v>
      </c>
      <c r="B98" s="70" t="s">
        <v>110</v>
      </c>
      <c r="C98">
        <v>45</v>
      </c>
      <c r="D98" s="39">
        <f>VLOOKUP(C98,'P02'!A:G,7,FALSE)</f>
        <v>0</v>
      </c>
    </row>
    <row r="99" spans="1:4" x14ac:dyDescent="0.35">
      <c r="A99" s="3" t="str">
        <f t="shared" si="1"/>
        <v>P02</v>
      </c>
      <c r="B99" s="70" t="s">
        <v>111</v>
      </c>
      <c r="C99">
        <v>46</v>
      </c>
      <c r="D99" s="39">
        <f>VLOOKUP(C99,'P02'!A:G,7,FALSE)</f>
        <v>0</v>
      </c>
    </row>
    <row r="100" spans="1:4" x14ac:dyDescent="0.35">
      <c r="A100" s="3" t="str">
        <f t="shared" si="1"/>
        <v>P02</v>
      </c>
      <c r="B100" s="70" t="s">
        <v>112</v>
      </c>
      <c r="C100">
        <v>47</v>
      </c>
      <c r="D100" s="39">
        <f>VLOOKUP(C100,'P02'!A:G,7,FALSE)</f>
        <v>0</v>
      </c>
    </row>
    <row r="101" spans="1:4" x14ac:dyDescent="0.35">
      <c r="A101" s="3" t="str">
        <f t="shared" si="1"/>
        <v>P02</v>
      </c>
      <c r="B101" s="70" t="s">
        <v>113</v>
      </c>
      <c r="C101">
        <v>48</v>
      </c>
      <c r="D101" s="39">
        <f>VLOOKUP(C101,'P02'!A:G,7,FALSE)</f>
        <v>0</v>
      </c>
    </row>
    <row r="102" spans="1:4" x14ac:dyDescent="0.35">
      <c r="A102" s="3" t="str">
        <f t="shared" si="1"/>
        <v>P02</v>
      </c>
      <c r="B102" s="70" t="s">
        <v>114</v>
      </c>
      <c r="C102">
        <v>49</v>
      </c>
      <c r="D102" s="39">
        <f>VLOOKUP(C102,'P02'!A:G,7,FALSE)</f>
        <v>0</v>
      </c>
    </row>
    <row r="103" spans="1:4" x14ac:dyDescent="0.35">
      <c r="A103" s="3" t="str">
        <f t="shared" si="1"/>
        <v>P02</v>
      </c>
      <c r="B103" s="70" t="s">
        <v>158</v>
      </c>
      <c r="C103">
        <v>50</v>
      </c>
      <c r="D103" s="39">
        <f>VLOOKUP(C103,'P02'!A:G,7,FALSE)</f>
        <v>0</v>
      </c>
    </row>
    <row r="104" spans="1:4" x14ac:dyDescent="0.35">
      <c r="A104" s="3" t="str">
        <f t="shared" si="1"/>
        <v>P02</v>
      </c>
      <c r="B104" s="70" t="s">
        <v>159</v>
      </c>
      <c r="C104">
        <v>51</v>
      </c>
      <c r="D104" s="39">
        <f>VLOOKUP(C104,'P02'!A:G,7,FALSE)</f>
        <v>0</v>
      </c>
    </row>
    <row r="105" spans="1:4" x14ac:dyDescent="0.35">
      <c r="A105" s="3" t="str">
        <f t="shared" si="1"/>
        <v>P02</v>
      </c>
      <c r="B105" s="70" t="s">
        <v>160</v>
      </c>
      <c r="C105">
        <v>52</v>
      </c>
      <c r="D105" s="39">
        <f>VLOOKUP(C105,'P02'!A:G,7,FALSE)</f>
        <v>0</v>
      </c>
    </row>
    <row r="106" spans="1:4" x14ac:dyDescent="0.35">
      <c r="A106" s="43" t="str">
        <f>"P03"</f>
        <v>P03</v>
      </c>
      <c r="B106" s="70" t="s">
        <v>115</v>
      </c>
      <c r="C106">
        <v>1</v>
      </c>
      <c r="D106" s="39">
        <f>VLOOKUP(C106,'P03'!A:G,7,FALSE)</f>
        <v>0</v>
      </c>
    </row>
    <row r="107" spans="1:4" x14ac:dyDescent="0.35">
      <c r="A107" s="3" t="str">
        <f t="shared" ref="A107:A157" si="2">"P03"</f>
        <v>P03</v>
      </c>
      <c r="B107" s="70" t="s">
        <v>116</v>
      </c>
      <c r="C107">
        <v>2</v>
      </c>
      <c r="D107" s="39">
        <f>VLOOKUP(C107,'P03'!A:G,7,FALSE)</f>
        <v>0</v>
      </c>
    </row>
    <row r="108" spans="1:4" x14ac:dyDescent="0.35">
      <c r="A108" s="43" t="str">
        <f t="shared" si="2"/>
        <v>P03</v>
      </c>
      <c r="B108" s="70" t="s">
        <v>117</v>
      </c>
      <c r="C108">
        <v>3</v>
      </c>
      <c r="D108" s="39">
        <f>VLOOKUP(C108,'P03'!A:G,7,FALSE)</f>
        <v>0</v>
      </c>
    </row>
    <row r="109" spans="1:4" x14ac:dyDescent="0.35">
      <c r="A109" s="3" t="str">
        <f t="shared" si="2"/>
        <v>P03</v>
      </c>
      <c r="B109" s="70" t="s">
        <v>118</v>
      </c>
      <c r="C109">
        <v>4</v>
      </c>
      <c r="D109" s="39">
        <f>VLOOKUP(C109,'P03'!A:G,7,FALSE)</f>
        <v>0</v>
      </c>
    </row>
    <row r="110" spans="1:4" x14ac:dyDescent="0.35">
      <c r="A110" s="3" t="str">
        <f t="shared" si="2"/>
        <v>P03</v>
      </c>
      <c r="B110" s="70" t="s">
        <v>119</v>
      </c>
      <c r="C110">
        <v>5</v>
      </c>
      <c r="D110" s="39">
        <f>VLOOKUP(C110,'P03'!A:G,7,FALSE)</f>
        <v>0</v>
      </c>
    </row>
    <row r="111" spans="1:4" x14ac:dyDescent="0.35">
      <c r="A111" s="3" t="str">
        <f t="shared" si="2"/>
        <v>P03</v>
      </c>
      <c r="B111" s="70" t="s">
        <v>120</v>
      </c>
      <c r="C111">
        <v>6</v>
      </c>
      <c r="D111" s="39">
        <f>VLOOKUP(C111,'P03'!A:G,7,FALSE)</f>
        <v>0</v>
      </c>
    </row>
    <row r="112" spans="1:4" x14ac:dyDescent="0.35">
      <c r="A112" s="43" t="str">
        <f t="shared" si="2"/>
        <v>P03</v>
      </c>
      <c r="B112" s="70" t="s">
        <v>121</v>
      </c>
      <c r="C112">
        <v>7</v>
      </c>
      <c r="D112" s="39">
        <f>VLOOKUP(C112,'P03'!A:G,7,FALSE)</f>
        <v>0</v>
      </c>
    </row>
    <row r="113" spans="1:4" x14ac:dyDescent="0.35">
      <c r="A113" s="3" t="str">
        <f t="shared" si="2"/>
        <v>P03</v>
      </c>
      <c r="B113" s="70">
        <v>2.1</v>
      </c>
      <c r="C113">
        <v>8</v>
      </c>
      <c r="D113" s="39">
        <f>VLOOKUP(C113,'P03'!A:G,7,FALSE)</f>
        <v>0</v>
      </c>
    </row>
    <row r="114" spans="1:4" x14ac:dyDescent="0.35">
      <c r="A114" s="3" t="str">
        <f t="shared" si="2"/>
        <v>P03</v>
      </c>
      <c r="B114" s="70" t="s">
        <v>122</v>
      </c>
      <c r="C114">
        <v>9</v>
      </c>
      <c r="D114" s="39">
        <f>VLOOKUP(C114,'P03'!A:G,7,FALSE)</f>
        <v>0</v>
      </c>
    </row>
    <row r="115" spans="1:4" x14ac:dyDescent="0.35">
      <c r="A115" s="43" t="str">
        <f t="shared" si="2"/>
        <v>P03</v>
      </c>
      <c r="B115" s="70" t="s">
        <v>123</v>
      </c>
      <c r="C115">
        <v>10</v>
      </c>
      <c r="D115" s="39">
        <f>VLOOKUP(C115,'P03'!A:G,7,FALSE)</f>
        <v>0</v>
      </c>
    </row>
    <row r="116" spans="1:4" x14ac:dyDescent="0.35">
      <c r="A116" s="3" t="str">
        <f t="shared" si="2"/>
        <v>P03</v>
      </c>
      <c r="B116" s="70" t="s">
        <v>124</v>
      </c>
      <c r="C116">
        <v>11</v>
      </c>
      <c r="D116" s="39">
        <f>VLOOKUP(C116,'P03'!A:G,7,FALSE)</f>
        <v>0</v>
      </c>
    </row>
    <row r="117" spans="1:4" x14ac:dyDescent="0.35">
      <c r="A117" s="3" t="str">
        <f t="shared" si="2"/>
        <v>P03</v>
      </c>
      <c r="B117" s="70" t="s">
        <v>125</v>
      </c>
      <c r="C117">
        <v>12</v>
      </c>
      <c r="D117" s="39">
        <f>VLOOKUP(C117,'P03'!A:G,7,FALSE)</f>
        <v>0</v>
      </c>
    </row>
    <row r="118" spans="1:4" x14ac:dyDescent="0.35">
      <c r="A118" s="3" t="str">
        <f t="shared" si="2"/>
        <v>P03</v>
      </c>
      <c r="B118" s="70" t="s">
        <v>126</v>
      </c>
      <c r="C118">
        <v>13</v>
      </c>
      <c r="D118" s="39">
        <f>VLOOKUP(C118,'P03'!A:G,7,FALSE)</f>
        <v>0</v>
      </c>
    </row>
    <row r="119" spans="1:4" x14ac:dyDescent="0.35">
      <c r="A119" s="3" t="str">
        <f>"P03"</f>
        <v>P03</v>
      </c>
      <c r="B119" s="70" t="s">
        <v>127</v>
      </c>
      <c r="C119">
        <v>14</v>
      </c>
      <c r="D119" s="39">
        <f>VLOOKUP(C119,'P03'!A:G,7,FALSE)</f>
        <v>0</v>
      </c>
    </row>
    <row r="120" spans="1:4" x14ac:dyDescent="0.35">
      <c r="A120" s="3" t="str">
        <f t="shared" si="2"/>
        <v>P03</v>
      </c>
      <c r="B120" s="70" t="s">
        <v>128</v>
      </c>
      <c r="C120">
        <v>15</v>
      </c>
      <c r="D120" s="39">
        <f>VLOOKUP(C120,'P03'!A:G,7,FALSE)</f>
        <v>0</v>
      </c>
    </row>
    <row r="121" spans="1:4" x14ac:dyDescent="0.35">
      <c r="A121" s="3" t="str">
        <f t="shared" si="2"/>
        <v>P03</v>
      </c>
      <c r="B121" s="70" t="s">
        <v>129</v>
      </c>
      <c r="C121">
        <v>16</v>
      </c>
      <c r="D121" s="39">
        <f>VLOOKUP(C121,'P03'!A:G,7,FALSE)</f>
        <v>0</v>
      </c>
    </row>
    <row r="122" spans="1:4" x14ac:dyDescent="0.35">
      <c r="A122" s="3" t="str">
        <f t="shared" si="2"/>
        <v>P03</v>
      </c>
      <c r="B122" s="70" t="s">
        <v>130</v>
      </c>
      <c r="C122">
        <v>17</v>
      </c>
      <c r="D122" s="39">
        <f>VLOOKUP(C122,'P03'!A:G,7,FALSE)</f>
        <v>0</v>
      </c>
    </row>
    <row r="123" spans="1:4" x14ac:dyDescent="0.35">
      <c r="A123" s="3" t="str">
        <f t="shared" si="2"/>
        <v>P03</v>
      </c>
      <c r="B123" s="70" t="s">
        <v>131</v>
      </c>
      <c r="C123">
        <v>18</v>
      </c>
      <c r="D123" s="39">
        <f>VLOOKUP(C123,'P03'!A:G,7,FALSE)</f>
        <v>0</v>
      </c>
    </row>
    <row r="124" spans="1:4" x14ac:dyDescent="0.35">
      <c r="A124" s="3" t="str">
        <f t="shared" si="2"/>
        <v>P03</v>
      </c>
      <c r="B124" s="70" t="s">
        <v>132</v>
      </c>
      <c r="C124">
        <v>19</v>
      </c>
      <c r="D124" s="39">
        <f>VLOOKUP(C124,'P03'!A:G,7,FALSE)</f>
        <v>0</v>
      </c>
    </row>
    <row r="125" spans="1:4" x14ac:dyDescent="0.35">
      <c r="A125" s="3" t="str">
        <f t="shared" si="2"/>
        <v>P03</v>
      </c>
      <c r="B125" s="70" t="s">
        <v>133</v>
      </c>
      <c r="C125">
        <v>20</v>
      </c>
      <c r="D125" s="39">
        <f>VLOOKUP(C125,'P03'!A:G,7,FALSE)</f>
        <v>0</v>
      </c>
    </row>
    <row r="126" spans="1:4" x14ac:dyDescent="0.35">
      <c r="A126" s="3" t="str">
        <f t="shared" si="2"/>
        <v>P03</v>
      </c>
      <c r="B126" s="70" t="s">
        <v>134</v>
      </c>
      <c r="C126">
        <v>21</v>
      </c>
      <c r="D126" s="39">
        <f>VLOOKUP(C126,'P03'!A:G,7,FALSE)</f>
        <v>0</v>
      </c>
    </row>
    <row r="127" spans="1:4" x14ac:dyDescent="0.35">
      <c r="A127" s="3" t="str">
        <f t="shared" si="2"/>
        <v>P03</v>
      </c>
      <c r="B127" s="70" t="s">
        <v>135</v>
      </c>
      <c r="C127">
        <v>22</v>
      </c>
      <c r="D127" s="39">
        <f>VLOOKUP(C127,'P03'!A:G,7,FALSE)</f>
        <v>0</v>
      </c>
    </row>
    <row r="128" spans="1:4" x14ac:dyDescent="0.35">
      <c r="A128" s="3" t="str">
        <f t="shared" si="2"/>
        <v>P03</v>
      </c>
      <c r="B128" s="70" t="s">
        <v>136</v>
      </c>
      <c r="C128">
        <v>23</v>
      </c>
      <c r="D128" s="39">
        <f>VLOOKUP(C128,'P03'!A:G,7,FALSE)</f>
        <v>0</v>
      </c>
    </row>
    <row r="129" spans="1:4" x14ac:dyDescent="0.35">
      <c r="A129" s="3" t="str">
        <f t="shared" si="2"/>
        <v>P03</v>
      </c>
      <c r="B129" s="70" t="s">
        <v>137</v>
      </c>
      <c r="C129">
        <v>24</v>
      </c>
      <c r="D129" s="39">
        <f>VLOOKUP(C129,'P03'!A:G,7,FALSE)</f>
        <v>0</v>
      </c>
    </row>
    <row r="130" spans="1:4" x14ac:dyDescent="0.35">
      <c r="A130" s="3" t="str">
        <f t="shared" si="2"/>
        <v>P03</v>
      </c>
      <c r="B130" s="70" t="s">
        <v>138</v>
      </c>
      <c r="C130">
        <v>25</v>
      </c>
      <c r="D130" s="39">
        <f>VLOOKUP(C130,'P03'!A:G,7,FALSE)</f>
        <v>0</v>
      </c>
    </row>
    <row r="131" spans="1:4" x14ac:dyDescent="0.35">
      <c r="A131" s="3" t="str">
        <f t="shared" si="2"/>
        <v>P03</v>
      </c>
      <c r="B131" s="70" t="s">
        <v>139</v>
      </c>
      <c r="C131">
        <v>26</v>
      </c>
      <c r="D131" s="39">
        <f>VLOOKUP(C131,'P03'!A:G,7,FALSE)</f>
        <v>0</v>
      </c>
    </row>
    <row r="132" spans="1:4" x14ac:dyDescent="0.35">
      <c r="A132" s="3" t="str">
        <f t="shared" si="2"/>
        <v>P03</v>
      </c>
      <c r="B132" s="70" t="s">
        <v>140</v>
      </c>
      <c r="C132">
        <v>27</v>
      </c>
      <c r="D132" s="39">
        <f>VLOOKUP(C132,'P03'!A:G,7,FALSE)</f>
        <v>0</v>
      </c>
    </row>
    <row r="133" spans="1:4" x14ac:dyDescent="0.35">
      <c r="A133" s="3" t="str">
        <f t="shared" si="2"/>
        <v>P03</v>
      </c>
      <c r="B133" s="70" t="s">
        <v>141</v>
      </c>
      <c r="C133">
        <v>28</v>
      </c>
      <c r="D133" s="39">
        <f>VLOOKUP(C133,'P03'!A:G,7,FALSE)</f>
        <v>0</v>
      </c>
    </row>
    <row r="134" spans="1:4" x14ac:dyDescent="0.35">
      <c r="A134" s="3" t="str">
        <f t="shared" si="2"/>
        <v>P03</v>
      </c>
      <c r="B134" s="70" t="s">
        <v>142</v>
      </c>
      <c r="C134">
        <v>29</v>
      </c>
      <c r="D134" s="39">
        <f>VLOOKUP(C134,'P03'!A:G,7,FALSE)</f>
        <v>0</v>
      </c>
    </row>
    <row r="135" spans="1:4" x14ac:dyDescent="0.35">
      <c r="A135" s="3" t="str">
        <f t="shared" si="2"/>
        <v>P03</v>
      </c>
      <c r="B135" s="70" t="s">
        <v>143</v>
      </c>
      <c r="C135">
        <v>30</v>
      </c>
      <c r="D135" s="39">
        <f>VLOOKUP(C135,'P03'!A:G,7,FALSE)</f>
        <v>0</v>
      </c>
    </row>
    <row r="136" spans="1:4" x14ac:dyDescent="0.35">
      <c r="A136" s="3" t="str">
        <f t="shared" si="2"/>
        <v>P03</v>
      </c>
      <c r="B136" s="70" t="s">
        <v>144</v>
      </c>
      <c r="C136">
        <v>31</v>
      </c>
      <c r="D136" s="39">
        <f>VLOOKUP(C136,'P03'!A:G,7,FALSE)</f>
        <v>0</v>
      </c>
    </row>
    <row r="137" spans="1:4" x14ac:dyDescent="0.35">
      <c r="A137" s="3" t="str">
        <f t="shared" si="2"/>
        <v>P03</v>
      </c>
      <c r="B137" s="70" t="s">
        <v>145</v>
      </c>
      <c r="C137">
        <v>32</v>
      </c>
      <c r="D137" s="39">
        <f>VLOOKUP(C137,'P03'!A:G,7,FALSE)</f>
        <v>0</v>
      </c>
    </row>
    <row r="138" spans="1:4" x14ac:dyDescent="0.35">
      <c r="A138" s="3" t="str">
        <f t="shared" si="2"/>
        <v>P03</v>
      </c>
      <c r="B138" s="70" t="s">
        <v>146</v>
      </c>
      <c r="C138">
        <v>33</v>
      </c>
      <c r="D138" s="39">
        <f>VLOOKUP(C138,'P03'!A:G,7,FALSE)</f>
        <v>0</v>
      </c>
    </row>
    <row r="139" spans="1:4" x14ac:dyDescent="0.35">
      <c r="A139" s="3" t="str">
        <f t="shared" si="2"/>
        <v>P03</v>
      </c>
      <c r="B139" s="70" t="s">
        <v>147</v>
      </c>
      <c r="C139">
        <v>34</v>
      </c>
      <c r="D139" s="39">
        <f>VLOOKUP(C139,'P03'!A:G,7,FALSE)</f>
        <v>0</v>
      </c>
    </row>
    <row r="140" spans="1:4" x14ac:dyDescent="0.35">
      <c r="A140" s="3" t="str">
        <f t="shared" si="2"/>
        <v>P03</v>
      </c>
      <c r="B140" s="70" t="s">
        <v>148</v>
      </c>
      <c r="C140">
        <v>35</v>
      </c>
      <c r="D140" s="39">
        <f>VLOOKUP(C140,'P03'!A:G,7,FALSE)</f>
        <v>0</v>
      </c>
    </row>
    <row r="141" spans="1:4" x14ac:dyDescent="0.35">
      <c r="A141" s="3" t="str">
        <f t="shared" si="2"/>
        <v>P03</v>
      </c>
      <c r="B141" s="70" t="s">
        <v>149</v>
      </c>
      <c r="C141">
        <v>36</v>
      </c>
      <c r="D141" s="39">
        <f>VLOOKUP(C141,'P03'!A:G,7,FALSE)</f>
        <v>0</v>
      </c>
    </row>
    <row r="142" spans="1:4" x14ac:dyDescent="0.35">
      <c r="A142" s="3" t="str">
        <f t="shared" si="2"/>
        <v>P03</v>
      </c>
      <c r="B142" s="70" t="s">
        <v>150</v>
      </c>
      <c r="C142">
        <v>37</v>
      </c>
      <c r="D142" s="39">
        <f>VLOOKUP(C142,'P03'!A:G,7,FALSE)</f>
        <v>0</v>
      </c>
    </row>
    <row r="143" spans="1:4" x14ac:dyDescent="0.35">
      <c r="A143" s="3" t="str">
        <f t="shared" si="2"/>
        <v>P03</v>
      </c>
      <c r="B143" s="70" t="s">
        <v>151</v>
      </c>
      <c r="C143">
        <v>38</v>
      </c>
      <c r="D143" s="39">
        <f>VLOOKUP(C143,'P03'!A:G,7,FALSE)</f>
        <v>0</v>
      </c>
    </row>
    <row r="144" spans="1:4" x14ac:dyDescent="0.35">
      <c r="A144" s="3" t="str">
        <f t="shared" si="2"/>
        <v>P03</v>
      </c>
      <c r="B144" s="70" t="s">
        <v>152</v>
      </c>
      <c r="C144">
        <v>39</v>
      </c>
      <c r="D144" s="39">
        <f>VLOOKUP(C144,'P03'!A:G,7,FALSE)</f>
        <v>0</v>
      </c>
    </row>
    <row r="145" spans="1:4" x14ac:dyDescent="0.35">
      <c r="A145" s="3" t="str">
        <f t="shared" si="2"/>
        <v>P03</v>
      </c>
      <c r="B145" s="70" t="s">
        <v>153</v>
      </c>
      <c r="C145">
        <v>40</v>
      </c>
      <c r="D145" s="39">
        <f>VLOOKUP(C145,'P03'!A:G,7,FALSE)</f>
        <v>0</v>
      </c>
    </row>
    <row r="146" spans="1:4" x14ac:dyDescent="0.35">
      <c r="A146" s="3" t="str">
        <f t="shared" si="2"/>
        <v>P03</v>
      </c>
      <c r="B146" s="70" t="s">
        <v>154</v>
      </c>
      <c r="C146">
        <v>41</v>
      </c>
      <c r="D146" s="39">
        <f>VLOOKUP(C146,'P03'!A:G,7,FALSE)</f>
        <v>0</v>
      </c>
    </row>
    <row r="147" spans="1:4" x14ac:dyDescent="0.35">
      <c r="A147" s="3" t="str">
        <f t="shared" si="2"/>
        <v>P03</v>
      </c>
      <c r="B147" s="70" t="s">
        <v>155</v>
      </c>
      <c r="C147">
        <v>42</v>
      </c>
      <c r="D147" s="39">
        <f>VLOOKUP(C147,'P03'!A:G,7,FALSE)</f>
        <v>0</v>
      </c>
    </row>
    <row r="148" spans="1:4" x14ac:dyDescent="0.35">
      <c r="A148" s="3" t="str">
        <f t="shared" si="2"/>
        <v>P03</v>
      </c>
      <c r="B148" s="70" t="s">
        <v>156</v>
      </c>
      <c r="C148">
        <v>43</v>
      </c>
      <c r="D148" s="39">
        <f>VLOOKUP(C148,'P03'!A:G,7,FALSE)</f>
        <v>0</v>
      </c>
    </row>
    <row r="149" spans="1:4" x14ac:dyDescent="0.35">
      <c r="A149" s="3" t="str">
        <f t="shared" si="2"/>
        <v>P03</v>
      </c>
      <c r="B149" s="70" t="s">
        <v>157</v>
      </c>
      <c r="C149">
        <v>44</v>
      </c>
      <c r="D149" s="39">
        <f>VLOOKUP(C149,'P03'!A:G,7,FALSE)</f>
        <v>0</v>
      </c>
    </row>
    <row r="150" spans="1:4" x14ac:dyDescent="0.35">
      <c r="A150" s="3" t="str">
        <f t="shared" si="2"/>
        <v>P03</v>
      </c>
      <c r="B150" s="70" t="s">
        <v>110</v>
      </c>
      <c r="C150">
        <v>45</v>
      </c>
      <c r="D150" s="39">
        <f>VLOOKUP(C150,'P03'!A:G,7,FALSE)</f>
        <v>0</v>
      </c>
    </row>
    <row r="151" spans="1:4" x14ac:dyDescent="0.35">
      <c r="A151" s="3" t="str">
        <f t="shared" si="2"/>
        <v>P03</v>
      </c>
      <c r="B151" s="70" t="s">
        <v>111</v>
      </c>
      <c r="C151">
        <v>46</v>
      </c>
      <c r="D151" s="39">
        <f>VLOOKUP(C151,'P03'!A:G,7,FALSE)</f>
        <v>0</v>
      </c>
    </row>
    <row r="152" spans="1:4" x14ac:dyDescent="0.35">
      <c r="A152" s="3" t="str">
        <f t="shared" si="2"/>
        <v>P03</v>
      </c>
      <c r="B152" s="70" t="s">
        <v>112</v>
      </c>
      <c r="C152">
        <v>47</v>
      </c>
      <c r="D152" s="39">
        <f>VLOOKUP(C152,'P03'!A:G,7,FALSE)</f>
        <v>0</v>
      </c>
    </row>
    <row r="153" spans="1:4" x14ac:dyDescent="0.35">
      <c r="A153" s="3" t="str">
        <f t="shared" si="2"/>
        <v>P03</v>
      </c>
      <c r="B153" s="70" t="s">
        <v>113</v>
      </c>
      <c r="C153">
        <v>48</v>
      </c>
      <c r="D153" s="39">
        <f>VLOOKUP(C153,'P03'!A:G,7,FALSE)</f>
        <v>0</v>
      </c>
    </row>
    <row r="154" spans="1:4" x14ac:dyDescent="0.35">
      <c r="A154" s="3" t="str">
        <f t="shared" si="2"/>
        <v>P03</v>
      </c>
      <c r="B154" s="70" t="s">
        <v>114</v>
      </c>
      <c r="C154">
        <v>49</v>
      </c>
      <c r="D154" s="39">
        <f>VLOOKUP(C154,'P03'!A:G,7,FALSE)</f>
        <v>0</v>
      </c>
    </row>
    <row r="155" spans="1:4" x14ac:dyDescent="0.35">
      <c r="A155" s="3" t="str">
        <f t="shared" si="2"/>
        <v>P03</v>
      </c>
      <c r="B155" s="70" t="s">
        <v>158</v>
      </c>
      <c r="C155">
        <v>50</v>
      </c>
      <c r="D155" s="39">
        <f>VLOOKUP(C155,'P03'!A:G,7,FALSE)</f>
        <v>0</v>
      </c>
    </row>
    <row r="156" spans="1:4" x14ac:dyDescent="0.35">
      <c r="A156" s="3" t="str">
        <f t="shared" si="2"/>
        <v>P03</v>
      </c>
      <c r="B156" s="70" t="s">
        <v>159</v>
      </c>
      <c r="C156">
        <v>51</v>
      </c>
      <c r="D156" s="39">
        <f>VLOOKUP(C156,'P03'!A:G,7,FALSE)</f>
        <v>0</v>
      </c>
    </row>
    <row r="157" spans="1:4" x14ac:dyDescent="0.35">
      <c r="A157" s="3" t="str">
        <f t="shared" si="2"/>
        <v>P03</v>
      </c>
      <c r="B157" s="70" t="s">
        <v>160</v>
      </c>
      <c r="C157">
        <v>52</v>
      </c>
      <c r="D157" s="39">
        <f>VLOOKUP(C157,'P03'!A:G,7,FALSE)</f>
        <v>0</v>
      </c>
    </row>
    <row r="158" spans="1:4" x14ac:dyDescent="0.35">
      <c r="A158" s="3"/>
      <c r="B158" s="3"/>
      <c r="C158" s="49"/>
    </row>
    <row r="159" spans="1:4" x14ac:dyDescent="0.35">
      <c r="A159" s="3"/>
      <c r="B159" s="3"/>
      <c r="C159" s="49"/>
    </row>
    <row r="160" spans="1:4" x14ac:dyDescent="0.35">
      <c r="A160" s="3"/>
      <c r="B160" s="3"/>
      <c r="C160" s="49"/>
    </row>
    <row r="161" spans="1:3" x14ac:dyDescent="0.35">
      <c r="A161" s="3"/>
      <c r="B161" s="3"/>
      <c r="C161" s="49"/>
    </row>
    <row r="162" spans="1:3" x14ac:dyDescent="0.35">
      <c r="A162" s="3"/>
      <c r="B162" s="3"/>
      <c r="C162" s="49"/>
    </row>
    <row r="163" spans="1:3" x14ac:dyDescent="0.35">
      <c r="A163" s="3"/>
      <c r="B163" s="3"/>
      <c r="C163" s="49"/>
    </row>
    <row r="164" spans="1:3" x14ac:dyDescent="0.35">
      <c r="A164" s="3"/>
      <c r="B164" s="3"/>
      <c r="C164" s="49"/>
    </row>
    <row r="165" spans="1:3" x14ac:dyDescent="0.35">
      <c r="A165" s="3"/>
      <c r="B165" s="3"/>
      <c r="C165" s="49"/>
    </row>
    <row r="166" spans="1:3" x14ac:dyDescent="0.35">
      <c r="A166" s="3"/>
      <c r="B166" s="3"/>
      <c r="C166" s="49"/>
    </row>
    <row r="167" spans="1:3" x14ac:dyDescent="0.35">
      <c r="A167" s="3"/>
      <c r="B167" s="3"/>
      <c r="C167" s="49"/>
    </row>
    <row r="168" spans="1:3" x14ac:dyDescent="0.35">
      <c r="A168" s="3"/>
      <c r="B168" s="3"/>
      <c r="C168" s="49"/>
    </row>
    <row r="169" spans="1:3" x14ac:dyDescent="0.35">
      <c r="A169" s="3"/>
      <c r="B169" s="3"/>
      <c r="C169" s="49"/>
    </row>
    <row r="170" spans="1:3" x14ac:dyDescent="0.35">
      <c r="A170" s="3"/>
      <c r="B170" s="3"/>
      <c r="C170" s="49"/>
    </row>
    <row r="171" spans="1:3" x14ac:dyDescent="0.35">
      <c r="A171" s="3"/>
      <c r="B171" s="3"/>
      <c r="C171" s="49"/>
    </row>
    <row r="172" spans="1:3" x14ac:dyDescent="0.35">
      <c r="A172" s="3"/>
      <c r="B172" s="3"/>
      <c r="C172" s="49"/>
    </row>
    <row r="173" spans="1:3" x14ac:dyDescent="0.35">
      <c r="A173" s="3"/>
      <c r="B173" s="3"/>
      <c r="C173" s="49"/>
    </row>
    <row r="174" spans="1:3" x14ac:dyDescent="0.35">
      <c r="A174" s="3"/>
      <c r="B174" s="3"/>
      <c r="C174" s="49"/>
    </row>
    <row r="175" spans="1:3" x14ac:dyDescent="0.35">
      <c r="A175" s="3"/>
      <c r="B175" s="3"/>
      <c r="C175" s="49"/>
    </row>
    <row r="176" spans="1:3" x14ac:dyDescent="0.35">
      <c r="A176" s="3"/>
      <c r="B176" s="3"/>
      <c r="C176" s="49"/>
    </row>
    <row r="177" spans="1:3" x14ac:dyDescent="0.35">
      <c r="A177" s="3"/>
      <c r="B177" s="3"/>
      <c r="C177" s="49"/>
    </row>
    <row r="178" spans="1:3" x14ac:dyDescent="0.35">
      <c r="A178" s="3"/>
      <c r="B178" s="3"/>
      <c r="C178" s="49"/>
    </row>
    <row r="179" spans="1:3" x14ac:dyDescent="0.35">
      <c r="A179" s="3"/>
      <c r="B179" s="3"/>
      <c r="C179" s="49"/>
    </row>
    <row r="180" spans="1:3" x14ac:dyDescent="0.35">
      <c r="A180" s="3"/>
      <c r="B180" s="3"/>
      <c r="C180" s="49"/>
    </row>
    <row r="181" spans="1:3" x14ac:dyDescent="0.35">
      <c r="A181" s="3"/>
      <c r="B181" s="3"/>
      <c r="C181" s="49"/>
    </row>
    <row r="182" spans="1:3" x14ac:dyDescent="0.35">
      <c r="A182" s="3"/>
      <c r="B182" s="3"/>
      <c r="C182" s="49"/>
    </row>
    <row r="183" spans="1:3" x14ac:dyDescent="0.35">
      <c r="A183" s="3"/>
      <c r="B183" s="3"/>
      <c r="C183" s="49"/>
    </row>
    <row r="184" spans="1:3" x14ac:dyDescent="0.35">
      <c r="A184" s="3"/>
      <c r="B184" s="3"/>
      <c r="C184" s="49"/>
    </row>
    <row r="185" spans="1:3" x14ac:dyDescent="0.35">
      <c r="A185" s="3"/>
      <c r="B185" s="3"/>
      <c r="C185" s="49"/>
    </row>
    <row r="186" spans="1:3" x14ac:dyDescent="0.35">
      <c r="A186" s="3"/>
      <c r="B186" s="3"/>
      <c r="C186" s="49"/>
    </row>
    <row r="187" spans="1:3" x14ac:dyDescent="0.35">
      <c r="A187" s="3"/>
      <c r="B187" s="3"/>
      <c r="C187" s="49"/>
    </row>
    <row r="188" spans="1:3" x14ac:dyDescent="0.35">
      <c r="A188" s="3"/>
      <c r="B188" s="3"/>
      <c r="C188" s="49"/>
    </row>
    <row r="189" spans="1:3" x14ac:dyDescent="0.35">
      <c r="A189" s="3"/>
      <c r="B189" s="3"/>
      <c r="C189" s="49"/>
    </row>
    <row r="190" spans="1:3" x14ac:dyDescent="0.35">
      <c r="A190" s="3"/>
      <c r="B190" s="3"/>
      <c r="C190" s="49"/>
    </row>
    <row r="191" spans="1:3" x14ac:dyDescent="0.35">
      <c r="A191" s="3"/>
      <c r="B191" s="3"/>
      <c r="C191" s="49"/>
    </row>
    <row r="192" spans="1:3" x14ac:dyDescent="0.35">
      <c r="A192" s="3"/>
      <c r="B192" s="3"/>
      <c r="C192" s="49"/>
    </row>
    <row r="193" spans="1:3" x14ac:dyDescent="0.35">
      <c r="A193" s="3"/>
      <c r="B193" s="3"/>
      <c r="C193" s="49"/>
    </row>
    <row r="194" spans="1:3" x14ac:dyDescent="0.35">
      <c r="A194" s="3"/>
      <c r="B194" s="3"/>
      <c r="C194" s="49"/>
    </row>
    <row r="195" spans="1:3" x14ac:dyDescent="0.35">
      <c r="A195" s="3"/>
      <c r="B195" s="3"/>
      <c r="C195" s="49"/>
    </row>
    <row r="196" spans="1:3" x14ac:dyDescent="0.35">
      <c r="A196" s="3"/>
      <c r="B196" s="3"/>
      <c r="C196" s="49"/>
    </row>
    <row r="197" spans="1:3" x14ac:dyDescent="0.35">
      <c r="A197" s="3"/>
      <c r="B197" s="3"/>
      <c r="C197" s="49"/>
    </row>
    <row r="198" spans="1:3" x14ac:dyDescent="0.35">
      <c r="A198" s="3"/>
      <c r="B198" s="3"/>
      <c r="C198" s="49"/>
    </row>
    <row r="199" spans="1:3" x14ac:dyDescent="0.35">
      <c r="A199" s="3"/>
      <c r="B199" s="3"/>
      <c r="C199" s="49"/>
    </row>
    <row r="200" spans="1:3" x14ac:dyDescent="0.35">
      <c r="A200" s="3"/>
      <c r="B200" s="3"/>
      <c r="C200" s="49"/>
    </row>
    <row r="201" spans="1:3" x14ac:dyDescent="0.35">
      <c r="A201" s="3"/>
      <c r="B201" s="3"/>
      <c r="C201" s="49"/>
    </row>
    <row r="202" spans="1:3" x14ac:dyDescent="0.35">
      <c r="A202" s="3"/>
      <c r="B202" s="3"/>
      <c r="C202" s="49"/>
    </row>
    <row r="203" spans="1:3" x14ac:dyDescent="0.35">
      <c r="A203" s="3"/>
      <c r="B203" s="3"/>
      <c r="C203" s="49"/>
    </row>
    <row r="204" spans="1:3" x14ac:dyDescent="0.35">
      <c r="A204" s="3"/>
      <c r="B204" s="3"/>
      <c r="C204" s="49"/>
    </row>
    <row r="205" spans="1:3" x14ac:dyDescent="0.35">
      <c r="A205" s="3"/>
      <c r="B205" s="3"/>
      <c r="C205" s="49"/>
    </row>
    <row r="206" spans="1:3" x14ac:dyDescent="0.35">
      <c r="A206" s="3"/>
      <c r="B206" s="3"/>
      <c r="C206" s="49"/>
    </row>
    <row r="207" spans="1:3" x14ac:dyDescent="0.35">
      <c r="A207" s="3"/>
      <c r="B207" s="3"/>
      <c r="C207" s="49"/>
    </row>
    <row r="208" spans="1:3" x14ac:dyDescent="0.35">
      <c r="A208" s="3"/>
      <c r="B208" s="3"/>
      <c r="C208" s="49"/>
    </row>
    <row r="209" spans="1:3" x14ac:dyDescent="0.35">
      <c r="A209" s="3"/>
      <c r="B209" s="3"/>
      <c r="C209" s="49"/>
    </row>
    <row r="210" spans="1:3" x14ac:dyDescent="0.35">
      <c r="A210" s="3"/>
      <c r="B210" s="3"/>
      <c r="C210" s="49"/>
    </row>
    <row r="211" spans="1:3" x14ac:dyDescent="0.35">
      <c r="A211" s="3"/>
      <c r="B211" s="3"/>
      <c r="C211" s="49"/>
    </row>
    <row r="212" spans="1:3" x14ac:dyDescent="0.35">
      <c r="A212" s="3"/>
      <c r="B212" s="3"/>
      <c r="C212" s="49"/>
    </row>
    <row r="213" spans="1:3" x14ac:dyDescent="0.35">
      <c r="A213" s="3"/>
      <c r="B213" s="3"/>
      <c r="C213" s="49"/>
    </row>
    <row r="214" spans="1:3" x14ac:dyDescent="0.35">
      <c r="A214" s="3"/>
      <c r="B214" s="3"/>
      <c r="C214" s="49"/>
    </row>
    <row r="215" spans="1:3" x14ac:dyDescent="0.35">
      <c r="A215" s="3"/>
      <c r="B215" s="3"/>
      <c r="C215" s="49"/>
    </row>
    <row r="216" spans="1:3" x14ac:dyDescent="0.35">
      <c r="A216" s="3"/>
      <c r="B216" s="3"/>
      <c r="C216" s="49"/>
    </row>
    <row r="217" spans="1:3" x14ac:dyDescent="0.35">
      <c r="A217" s="3"/>
      <c r="B217" s="3"/>
      <c r="C217" s="49"/>
    </row>
    <row r="218" spans="1:3" x14ac:dyDescent="0.35">
      <c r="A218" s="3"/>
      <c r="B218" s="3"/>
      <c r="C218" s="49"/>
    </row>
    <row r="219" spans="1:3" x14ac:dyDescent="0.35">
      <c r="A219" s="3"/>
      <c r="B219" s="3"/>
      <c r="C219" s="49"/>
    </row>
    <row r="220" spans="1:3" x14ac:dyDescent="0.35">
      <c r="A220" s="3"/>
      <c r="B220" s="3"/>
      <c r="C220" s="49"/>
    </row>
    <row r="221" spans="1:3" x14ac:dyDescent="0.35">
      <c r="A221" s="3"/>
      <c r="B221" s="3"/>
      <c r="C221" s="49"/>
    </row>
    <row r="222" spans="1:3" x14ac:dyDescent="0.35">
      <c r="A222" s="3"/>
      <c r="B222" s="3"/>
      <c r="C222" s="49"/>
    </row>
    <row r="223" spans="1:3" x14ac:dyDescent="0.35">
      <c r="A223" s="3"/>
      <c r="B223" s="3"/>
      <c r="C223" s="49"/>
    </row>
    <row r="224" spans="1:3" x14ac:dyDescent="0.35">
      <c r="A224" s="3"/>
      <c r="B224" s="3"/>
      <c r="C224" s="49"/>
    </row>
    <row r="225" spans="1:3" x14ac:dyDescent="0.35">
      <c r="A225" s="3"/>
      <c r="B225" s="3"/>
      <c r="C225" s="49"/>
    </row>
    <row r="226" spans="1:3" x14ac:dyDescent="0.35">
      <c r="A226" s="3"/>
      <c r="B226" s="3"/>
      <c r="C226" s="49"/>
    </row>
    <row r="227" spans="1:3" x14ac:dyDescent="0.35">
      <c r="A227" s="3"/>
      <c r="B227" s="3"/>
      <c r="C227" s="49"/>
    </row>
    <row r="228" spans="1:3" x14ac:dyDescent="0.35">
      <c r="A228" s="3"/>
      <c r="B228" s="3"/>
      <c r="C228" s="49"/>
    </row>
    <row r="229" spans="1:3" x14ac:dyDescent="0.35">
      <c r="A229" s="3"/>
      <c r="B229" s="3"/>
      <c r="C229" s="49"/>
    </row>
    <row r="230" spans="1:3" x14ac:dyDescent="0.35">
      <c r="A230" s="3"/>
      <c r="B230" s="3"/>
      <c r="C230" s="49"/>
    </row>
    <row r="231" spans="1:3" x14ac:dyDescent="0.35">
      <c r="A231" s="3"/>
      <c r="B231" s="3"/>
      <c r="C231" s="49"/>
    </row>
    <row r="232" spans="1:3" x14ac:dyDescent="0.35">
      <c r="A232" s="3"/>
      <c r="B232" s="3"/>
      <c r="C232" s="49"/>
    </row>
    <row r="233" spans="1:3" x14ac:dyDescent="0.35">
      <c r="A233" s="3"/>
      <c r="B233" s="3"/>
      <c r="C233" s="49"/>
    </row>
    <row r="234" spans="1:3" x14ac:dyDescent="0.35">
      <c r="A234" s="3"/>
      <c r="B234" s="3"/>
      <c r="C234" s="49"/>
    </row>
    <row r="235" spans="1:3" x14ac:dyDescent="0.35">
      <c r="A235" s="3"/>
      <c r="B235" s="3"/>
      <c r="C235" s="49"/>
    </row>
    <row r="236" spans="1:3" x14ac:dyDescent="0.35">
      <c r="A236" s="3"/>
      <c r="B236" s="3"/>
      <c r="C236" s="49"/>
    </row>
    <row r="237" spans="1:3" x14ac:dyDescent="0.35">
      <c r="A237" s="3"/>
      <c r="B237" s="3"/>
      <c r="C237" s="49"/>
    </row>
    <row r="238" spans="1:3" x14ac:dyDescent="0.35">
      <c r="A238" s="3"/>
      <c r="B238" s="3"/>
      <c r="C238" s="49"/>
    </row>
    <row r="239" spans="1:3" x14ac:dyDescent="0.35">
      <c r="A239" s="3"/>
      <c r="B239" s="3"/>
      <c r="C239" s="49"/>
    </row>
    <row r="240" spans="1:3" x14ac:dyDescent="0.35">
      <c r="A240" s="3"/>
      <c r="B240" s="3"/>
      <c r="C240" s="49"/>
    </row>
    <row r="241" spans="1:3" x14ac:dyDescent="0.35">
      <c r="A241" s="3"/>
      <c r="B241" s="3"/>
      <c r="C241" s="49"/>
    </row>
    <row r="242" spans="1:3" x14ac:dyDescent="0.35">
      <c r="A242" s="3"/>
      <c r="B242" s="3"/>
      <c r="C242" s="49"/>
    </row>
    <row r="243" spans="1:3" x14ac:dyDescent="0.35">
      <c r="A243" s="3"/>
      <c r="B243" s="3"/>
      <c r="C243" s="49"/>
    </row>
    <row r="244" spans="1:3" x14ac:dyDescent="0.35">
      <c r="A244" s="3"/>
      <c r="B244" s="3"/>
      <c r="C244" s="49"/>
    </row>
    <row r="245" spans="1:3" x14ac:dyDescent="0.35">
      <c r="A245" s="3"/>
      <c r="B245" s="3"/>
      <c r="C245" s="49"/>
    </row>
    <row r="246" spans="1:3" x14ac:dyDescent="0.35">
      <c r="A246" s="3"/>
      <c r="B246" s="3"/>
      <c r="C246" s="49"/>
    </row>
    <row r="247" spans="1:3" x14ac:dyDescent="0.35">
      <c r="A247" s="3"/>
      <c r="B247" s="3"/>
      <c r="C247" s="49"/>
    </row>
    <row r="248" spans="1:3" x14ac:dyDescent="0.35">
      <c r="A248" s="3"/>
      <c r="B248" s="3"/>
      <c r="C248" s="49"/>
    </row>
    <row r="249" spans="1:3" x14ac:dyDescent="0.35">
      <c r="A249" s="3"/>
      <c r="B249" s="3"/>
      <c r="C249" s="49"/>
    </row>
    <row r="250" spans="1:3" x14ac:dyDescent="0.35">
      <c r="A250" s="3"/>
      <c r="B250" s="3"/>
      <c r="C250" s="49"/>
    </row>
    <row r="251" spans="1:3" x14ac:dyDescent="0.35">
      <c r="A251" s="3"/>
      <c r="B251" s="3"/>
      <c r="C251" s="49"/>
    </row>
    <row r="252" spans="1:3" x14ac:dyDescent="0.35">
      <c r="A252" s="3"/>
      <c r="B252" s="3"/>
      <c r="C252" s="49"/>
    </row>
    <row r="253" spans="1:3" x14ac:dyDescent="0.35">
      <c r="A253" s="3"/>
      <c r="B253" s="3"/>
      <c r="C253" s="49"/>
    </row>
    <row r="254" spans="1:3" x14ac:dyDescent="0.35">
      <c r="A254" s="3"/>
      <c r="B254" s="3"/>
      <c r="C254" s="49"/>
    </row>
    <row r="255" spans="1:3" x14ac:dyDescent="0.35">
      <c r="A255" s="3"/>
      <c r="B255" s="3"/>
      <c r="C255" s="49"/>
    </row>
    <row r="256" spans="1:3" x14ac:dyDescent="0.35">
      <c r="A256" s="3"/>
      <c r="B256" s="3"/>
      <c r="C256" s="49"/>
    </row>
    <row r="257" spans="1:3" x14ac:dyDescent="0.35">
      <c r="A257" s="3"/>
      <c r="B257" s="3"/>
      <c r="C257" s="49"/>
    </row>
    <row r="258" spans="1:3" x14ac:dyDescent="0.35">
      <c r="A258" s="3"/>
      <c r="B258" s="3"/>
      <c r="C258" s="49"/>
    </row>
    <row r="259" spans="1:3" x14ac:dyDescent="0.35">
      <c r="A259" s="3"/>
      <c r="B259" s="3"/>
      <c r="C259" s="49"/>
    </row>
    <row r="260" spans="1:3" x14ac:dyDescent="0.35">
      <c r="A260" s="3"/>
      <c r="B260" s="3"/>
      <c r="C260" s="49"/>
    </row>
    <row r="261" spans="1:3" x14ac:dyDescent="0.35">
      <c r="A261" s="3"/>
      <c r="B261" s="3"/>
      <c r="C261" s="49"/>
    </row>
    <row r="262" spans="1:3" x14ac:dyDescent="0.35">
      <c r="A262" s="3"/>
      <c r="B262" s="3"/>
      <c r="C262" s="49"/>
    </row>
    <row r="263" spans="1:3" x14ac:dyDescent="0.35">
      <c r="A263" s="3"/>
      <c r="B263" s="3"/>
      <c r="C263" s="49"/>
    </row>
    <row r="264" spans="1:3" x14ac:dyDescent="0.35">
      <c r="A264" s="3"/>
      <c r="B264" s="3"/>
      <c r="C264" s="49"/>
    </row>
    <row r="265" spans="1:3" x14ac:dyDescent="0.35">
      <c r="A265" s="3"/>
      <c r="B265" s="3"/>
      <c r="C265" s="49"/>
    </row>
    <row r="266" spans="1:3" x14ac:dyDescent="0.35">
      <c r="A266" s="3"/>
      <c r="B266" s="3"/>
      <c r="C266" s="49"/>
    </row>
    <row r="267" spans="1:3" x14ac:dyDescent="0.35">
      <c r="A267" s="3"/>
      <c r="B267" s="3"/>
      <c r="C267" s="49"/>
    </row>
    <row r="268" spans="1:3" x14ac:dyDescent="0.35">
      <c r="A268" s="3"/>
      <c r="B268" s="3"/>
      <c r="C268" s="49"/>
    </row>
    <row r="269" spans="1:3" x14ac:dyDescent="0.35">
      <c r="A269" s="3"/>
      <c r="B269" s="3"/>
      <c r="C269" s="49"/>
    </row>
    <row r="270" spans="1:3" x14ac:dyDescent="0.35">
      <c r="A270" s="3"/>
      <c r="B270" s="3"/>
      <c r="C270" s="49"/>
    </row>
    <row r="271" spans="1:3" x14ac:dyDescent="0.35">
      <c r="A271" s="3"/>
      <c r="B271" s="3"/>
      <c r="C271" s="49"/>
    </row>
    <row r="272" spans="1:3" x14ac:dyDescent="0.35">
      <c r="A272" s="3"/>
      <c r="B272" s="3"/>
      <c r="C272" s="49"/>
    </row>
    <row r="273" spans="1:3" x14ac:dyDescent="0.35">
      <c r="A273" s="3"/>
      <c r="B273" s="3"/>
      <c r="C273" s="49"/>
    </row>
    <row r="274" spans="1:3" x14ac:dyDescent="0.35">
      <c r="A274" s="3"/>
      <c r="B274" s="3"/>
      <c r="C274" s="49"/>
    </row>
    <row r="275" spans="1:3" x14ac:dyDescent="0.35">
      <c r="A275" s="3"/>
      <c r="B275" s="3"/>
      <c r="C275" s="49"/>
    </row>
    <row r="276" spans="1:3" x14ac:dyDescent="0.35">
      <c r="A276" s="3"/>
      <c r="B276" s="3"/>
      <c r="C276" s="49"/>
    </row>
    <row r="277" spans="1:3" x14ac:dyDescent="0.35">
      <c r="A277" s="3"/>
      <c r="B277" s="3"/>
      <c r="C277" s="49"/>
    </row>
    <row r="278" spans="1:3" x14ac:dyDescent="0.35">
      <c r="A278" s="3"/>
      <c r="B278" s="3"/>
      <c r="C278" s="49"/>
    </row>
    <row r="279" spans="1:3" x14ac:dyDescent="0.35">
      <c r="A279" s="3"/>
      <c r="B279" s="3"/>
      <c r="C279" s="49"/>
    </row>
    <row r="280" spans="1:3" x14ac:dyDescent="0.35">
      <c r="A280" s="3"/>
      <c r="B280" s="3"/>
      <c r="C280" s="49"/>
    </row>
    <row r="281" spans="1:3" x14ac:dyDescent="0.35">
      <c r="A281" s="3"/>
      <c r="B281" s="3"/>
      <c r="C281" s="49"/>
    </row>
    <row r="282" spans="1:3" x14ac:dyDescent="0.35">
      <c r="A282" s="3"/>
      <c r="B282" s="3"/>
      <c r="C282" s="49"/>
    </row>
    <row r="283" spans="1:3" x14ac:dyDescent="0.35">
      <c r="A283" s="3"/>
      <c r="B283" s="3"/>
      <c r="C283" s="49"/>
    </row>
    <row r="284" spans="1:3" x14ac:dyDescent="0.35">
      <c r="A284" s="3"/>
      <c r="B284" s="3"/>
      <c r="C284" s="49"/>
    </row>
    <row r="285" spans="1:3" x14ac:dyDescent="0.35">
      <c r="A285" s="3"/>
      <c r="B285" s="3"/>
      <c r="C285" s="49"/>
    </row>
    <row r="286" spans="1:3" x14ac:dyDescent="0.35">
      <c r="A286" s="3"/>
      <c r="B286" s="3"/>
      <c r="C286" s="49"/>
    </row>
    <row r="287" spans="1:3" x14ac:dyDescent="0.35">
      <c r="A287" s="3"/>
      <c r="B287" s="3"/>
      <c r="C287" s="49"/>
    </row>
    <row r="288" spans="1:3" x14ac:dyDescent="0.35">
      <c r="A288" s="3"/>
      <c r="B288" s="3"/>
      <c r="C288" s="49"/>
    </row>
    <row r="289" spans="1:3" x14ac:dyDescent="0.35">
      <c r="A289" s="3"/>
      <c r="B289" s="3"/>
      <c r="C289" s="49"/>
    </row>
    <row r="290" spans="1:3" x14ac:dyDescent="0.35">
      <c r="A290" s="3"/>
      <c r="B290" s="3"/>
      <c r="C290" s="49"/>
    </row>
    <row r="291" spans="1:3" x14ac:dyDescent="0.35">
      <c r="A291" s="3"/>
      <c r="B291" s="3"/>
      <c r="C291" s="49"/>
    </row>
    <row r="292" spans="1:3" x14ac:dyDescent="0.35">
      <c r="A292" s="3"/>
      <c r="B292" s="3"/>
      <c r="C292" s="49"/>
    </row>
    <row r="293" spans="1:3" x14ac:dyDescent="0.35">
      <c r="A293" s="3"/>
      <c r="B293" s="3"/>
      <c r="C293" s="49"/>
    </row>
    <row r="294" spans="1:3" x14ac:dyDescent="0.35">
      <c r="A294" s="3"/>
      <c r="B294" s="3"/>
      <c r="C294" s="49"/>
    </row>
    <row r="295" spans="1:3" x14ac:dyDescent="0.35">
      <c r="A295" s="3"/>
      <c r="B295" s="3"/>
      <c r="C295" s="49"/>
    </row>
    <row r="296" spans="1:3" x14ac:dyDescent="0.35">
      <c r="A296" s="3"/>
      <c r="B296" s="3"/>
      <c r="C296" s="49"/>
    </row>
    <row r="297" spans="1:3" x14ac:dyDescent="0.35">
      <c r="A297" s="3"/>
      <c r="B297" s="3"/>
      <c r="C297" s="49"/>
    </row>
    <row r="298" spans="1:3" x14ac:dyDescent="0.35">
      <c r="A298" s="3"/>
      <c r="B298" s="3"/>
      <c r="C298" s="49"/>
    </row>
    <row r="299" spans="1:3" x14ac:dyDescent="0.35">
      <c r="A299" s="3"/>
      <c r="B299" s="3"/>
      <c r="C299" s="49"/>
    </row>
  </sheetData>
  <autoFilter ref="A1:E1" xr:uid="{18AA6393-C6C8-4986-A312-FDD4A51079A5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686651B-52A8-45AD-AD8A-B87734366C5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BaseDeCalcul</vt:lpstr>
      <vt:lpstr>Synthèse</vt:lpstr>
      <vt:lpstr>Échelle</vt:lpstr>
      <vt:lpstr>Échantillon</vt:lpstr>
      <vt:lpstr>P01</vt:lpstr>
      <vt:lpstr>P02</vt:lpstr>
      <vt:lpstr>P03</vt:lpstr>
      <vt:lpstr>NC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Alain Vagner</dc:creator>
  <dc:description/>
  <cp:lastModifiedBy>Alain Vagner</cp:lastModifiedBy>
  <cp:revision>531</cp:revision>
  <dcterms:created xsi:type="dcterms:W3CDTF">2015-03-10T09:08:51Z</dcterms:created>
  <dcterms:modified xsi:type="dcterms:W3CDTF">2026-06-01T08:03:27Z</dcterms:modified>
  <dc:language>fr-FR</dc:language>
</cp:coreProperties>
</file>