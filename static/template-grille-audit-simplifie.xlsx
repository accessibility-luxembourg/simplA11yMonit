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BaseDeCalcul" sheetId="2" r:id="rId6"/>
    <sheet name="Synthèse" sheetId="3" r:id="rId7"/>
    <sheet name="Échelle" sheetId="4" r:id="rId8"/>
    <sheet name="Échantillon" sheetId="5" r:id="rId9"/>
    <sheet name="P01" sheetId="6" r:id="rId10"/>
    <sheet name="P02" sheetId="7" r:id="rId11"/>
    <sheet name="P03" sheetId="8" r:id="rId12"/>
    <sheet name="NC" sheetId="9" r:id="rId13"/>
  </sheets>
</workbook>
</file>

<file path=xl/comments1.xml><?xml version="1.0" encoding="utf-8"?>
<comments xmlns="http://schemas.openxmlformats.org/spreadsheetml/2006/main">
  <authors>
    <author>Steven Ferreira</author>
  </authors>
  <commentList>
    <comment ref="C7" authorId="0">
      <text>
        <r>
          <rPr>
            <sz val="11"/>
            <color indexed="8"/>
            <rFont val="Helvetica Neue"/>
          </rPr>
          <t>Steven Ferreira:
1) Repérer
• Images informatives complexes : graphiques, schémas, infographies (&lt;img&gt;, &lt;object&gt;, &lt;embed&gt;, &lt;input type="image"&gt;, &lt;svg&gt;, &lt;canvas&gt;, role="img").
2) Vérifier
• Une description détaillée est accessible par :
• Attribut longdesc (ancien mais encore accepté).
• Texte alternatif qui mentionne une description adjacente.
• Lien ou bouton adjacent menant à la description.
• Attributs ARIA (aria-label, aria-labelledby, aria-describedby) reliant l’image à la description.
• Contenu textuel directement présent (ex. dans &lt;canvas&gt; ou via &lt;figcaption&gt;).
3) Validation
• ✅ Si la description permet d’obtenir les mêmes infos que l’image → test validé.
• ❌ Si la description est absente, incomplète ou non restituée par les lecteurs d’écran → test échoué.</t>
        </r>
      </text>
    </comment>
    <comment ref="C10" authorId="0">
      <text>
        <r>
          <rPr>
            <sz val="11"/>
            <color indexed="8"/>
            <rFont val="Helvetica Neue"/>
          </rPr>
          <t>Steven Ferreira:
1) Repérer
• Tous les cas où la couleur seule transmet une information :
• Texte coloré (ex. “les erreurs sont en rouge”).
• Indications de couleur dans une phrase (“les champs verts sont valides”).
• Images où la couleur seule différencie des éléments (graphique, plan, schéma).
• Propriétés CSS (color, background-color) servant à transmettre une info.
• Médias temporels (vidéo) ou non temporels (image, schéma) qui utilisent uniquement la couleur.
2) Vérifier
• L’information doit aussi être donnée par un autre moyen :
• Texte (attribut title, label clair, légende).
• Forme ou position.
• Icône ou symbole.
• Effet typographique (gras, souligné, etc.).
3) Validation
• ✅ Si toutes les infos données par couleur ont une alternative visuelle ou textuelle → test validé.
• ❌ Si une information repose uniquement sur la couleur → test échoué.</t>
        </r>
      </text>
    </comment>
    <comment ref="C16" authorId="0">
      <text>
        <r>
          <rPr>
            <sz val="11"/>
            <color indexed="8"/>
            <rFont val="Helvetica Neue"/>
          </rPr>
          <t>Steven Ferreira:
1) Repérer les médias non temporels :
• Images fixes (&lt;img&gt;).
• Graphiques, schémas, infographies, images dans des cartes.
• Toute ressource visuelle qui n’est pas une vidéo ou un son.
2) Vérifier la présence d’une alternative (Test 4.8.1) :
• Un lien ou bouton adjacent clairement identifiable permet d’accéder à une page contenant une alternative.
• OU un lien ou bouton adjacent clairement identifiable permet d’accéder à une alternative dans la même page.
3) Vérifier l’accessibilité de l’alternative (Test 4.8.2) :
• La page référencée par le lien ou bouton adjacent est accessible.
• OU l’alternative dans la page, référencée par le lien ou bouton adjacent, est accessible.
4) Cas particuliers (non applicable) :
• Si le média non temporel est purement décoratif (aucune information).
• Si le média est diffusé dans un environnement maîtrisé.
• Si le média est inséré via JavaScript en remplacement d’un contenu alternatif déjà présent.
5) Validation du test :
• ✅ Si chaque média non temporel a bien une alternative accessible, le test est validé.
• ❌ Si un média informatif n’a aucune alternative disponible ou accessible, le test échoue.</t>
        </r>
      </text>
    </comment>
    <comment ref="C17" authorId="0">
      <text>
        <r>
          <rPr>
            <sz val="11"/>
            <color indexed="8"/>
            <rFont val="Helvetica Neue"/>
          </rPr>
          <t>Steven Ferreira:
1) Repérer les médias non temporels avec alternative :
• Images fixes (&lt;img&gt;).
• Graphiques, schémas, infographies.
• Tout contenu visuel non temporel pour lequel une alternative existe (texte, page dédiée, description, etc.).
2) Vérifier la pertinence de l’alternative (Test 4.9.1) :
• L’alternative doit donner accès au même contenu.
• L’alternative doit offrir des fonctionnalités similaires (ex. un graphique → un tableau de données équivalent).
3) Validation du test :
• ✅ Si toutes les alternatives permettent d’obtenir le même contenu et les mêmes fonctionnalités → test validé.
• ❌ Si une alternative est incomplète ou ne reflète pas l’information donnée par le média → test échoué.</t>
        </r>
      </text>
    </comment>
    <comment ref="C22" authorId="0">
      <text>
        <r>
          <rPr>
            <sz val="11"/>
            <color indexed="8"/>
            <rFont val="Helvetica Neue"/>
          </rPr>
          <t>Steven Ferreira:
1) Repérer
• Tous les types de liens :
• Liens texte.
• Liens image (&lt;img&gt;, &lt;area&gt;, &lt;object&gt;, &lt;canvas&gt;, &lt;svg&gt;).
• Liens composites (texte + image).
• Liens SVG (&lt;svg&gt;&lt;a href=...&gt;).
2) Vérifier
• L’intitulé du lien (seul ou avec son contexte) permet de comprendre :
• Sa fonction (ce qu’il fait).
• Sa destination (où il mène).
• Pour les liens image → l’alternative textuelle fournit l’intitulé.
• Pour les liens composites → le texte + l’alternative de l’image forment l’intitulé.
• Pour les liens SVG → le nom accessible est issu du contenu &lt;text&gt;, &lt;title&gt; ou ARIA.
• Si un lien a un intitulé visible + un attribut (title, aria-label, aria-labelledby) → le nom accessible doit contenir au moins l’intitulé visible.
3) Validation
• ✅ Si chaque lien est compréhensible seul ou avec son contexte, le test est validé.
• ❌ Si un lien est ambigu (ex. “cliquez ici”, icône sans alternative, symbole sans explication) → test échoué.</t>
        </r>
      </text>
    </comment>
    <comment ref="C23" authorId="0">
      <text>
        <r>
          <rPr>
            <sz val="11"/>
            <color indexed="8"/>
            <rFont val="Helvetica Neue"/>
          </rPr>
          <t>Steven Ferreira:
1) Repérer
Retrouver tous les liens de la page :
les éléments &lt;a&gt; ayant un attribut href,
les éléments pourvus d’un attribut role="link",
les zones cliquables &lt;area&gt; liées à une image.
2) Vérifier
Pour chaque lien repéré, contrôler que :
entre &lt;a&gt; et &lt;/a&gt; il existe un intitulé (texte visible, image avec alt, contenu accessible via aria-label ou aria-labelledby),
cet intitulé n’est pas vide, ni réduit à des caractères décoratifs (par ex. … ou icône sans alternative).
👉 L’inspecteur d’accessibilité (onglet Accessibility de Firefox) doit afficher un Name non vide pour le lien.
3) Validation
Si chaque lien possède un intitulé valide et non vide → test validé.
Si un ou plusieurs liens n’ont aucun intitulé (contenu vide, image sans alt, icône seule sans texte alternatif) → non conforme.</t>
        </r>
      </text>
    </comment>
    <comment ref="C35" authorId="0">
      <text>
        <r>
          <rPr>
            <sz val="11"/>
            <color indexed="8"/>
            <rFont val="Helvetica Neue"/>
          </rPr>
          <t>Steven Ferreira:
Conseil pratique : Les outils comme axe DevTools détectent automatiquement les erreurs courantes liées à aria-hidden="true" (par exemple quand un élément caché contient un bouton ou un lien focusable). Vérifie toujours ces alertes, car elles révèlent une non-conformité typique du critère 10.8.
1) Repérer
• Tous les contenus cachés via :
• Attribut hidden.
• Attribut aria-hidden.
• CSS (display:none, visibility:hidden, etc.).
2) Vérifier
• Si le contenu est réellement décoratif/technique, il doit être ignoré par les technologies d’assistance.
• Si le contenu doit être utile à l’utilisateur, il doit être restitué :
• Après une action au clavier ou à la souris sur un élément qui le déclenche.
• OU après un repositionnement du focus programmé dessus.
3) Validation
• ✅ Si chaque contenu caché est correctement ignoré ou restitué → test validé.
• ❌ Si un contenu utile reste inaccessible aux technologies d’assistance → test échoué.</t>
        </r>
      </text>
    </comment>
    <comment ref="C36" authorId="0">
      <text>
        <r>
          <rPr>
            <sz val="11"/>
            <color indexed="8"/>
            <rFont val="Helvetica Neue"/>
          </rPr>
          <t>Steven Ferreira:
1) Repérer
Identifier dans la page :
-Textes mis en valeur uniquement par couleur, forme ou taille.
- Informations données par la position : « voir colonne de droite », « bouton en haut », etc.
- Graphiques où seules les formes ou couleurs distinguent les éléments.
- Médias (vidéo, audio, image, infographie) où une différence repose uniquement sur la présentation visuelle.
2) Vérifier
- Demander : si j’enlève la couleur, la forme, la taille ou la position, est-ce que l’information reste compréhensible ?
- Chercher un équivalent textuel ou symbolique clair.
3) Validation
- ✅ Conforme : l’information est disponible autrement (texte, légende, icône, label, description).
- ❌ Non conforme : l’information repose uniquement sur un indice visuel (taille, couleur, emplacement).
Exemples:
- Erreur (texte) : « Les champs obligatoires sont en rouge » → repose uniquement sur la couleur.
- Correct (texte) : « Les champs obligatoires sont indiqués par une étoile (*) » + mention textuelle « champ obligatoire ».
- Erreur (image) : un plan où seule la couleur distingue les zones.
- Correct (image) : plan avec couleurs + légendes textuelles (« Zone A – Entrée visiteurs », « Zone B – Parking »).
- Erreur (média) : une vidéo où on dit seulement « cliquez sur le carré » sans autre explication.
- Correct (média) : la vidéo indique « cliquez sur le carré bleu avec l’étiquette Valider ».</t>
        </r>
      </text>
    </comment>
    <comment ref="C37" authorId="0">
      <text>
        <r>
          <rPr>
            <sz val="11"/>
            <color indexed="8"/>
            <rFont val="Helvetica Neue"/>
          </rPr>
          <t>Steven Ferreira:
1) Repérer
Reprendre les mêmes cas que pour 10.9, mais se concentrer sur les alternatives déjà mises en place (texte, icône, légende, description).
2) Vérifier
- L’alternative est-elle pertinente et compréhensible pour tous les utilisateurs et tous les contextes (lecteur d’écran, impression N&amp;B, basse vision, etc.) ?
- Vérifier que la légende ou l’annotation donne bien l’info sans ambiguïté.
3) Validation
- ✅ Conforme : l’alternative transmet réellement la même information que la forme/taille/position.
- ❌ Non conforme : l’alternative existe mais est insuffisante, ambiguë, ou ne s’applique pas dans tous les contextes.
Exemples:
- Erreur (texte) : champs obligatoires signalés par une étoile, mais sans explication → un lecteur d’écran va lire « étoile », ce qui n’est pas clair.
- Correct (texte) : étoile + mention textuelle « champ obligatoire ».
- Erreur (image) : un graphique avec des couleurs + une légende « en bleu = hommes, en vert = femmes » → si l’impression est en N&amp;B, l’info est perdue.
- Correct (image) : graphique avec couleurs + motifs distinctifs (hachures, cercles) et légende textuelle claire.
- Erreur (média temporel) : une vidéo avec sous-titres « [musique dramatique] » pour indiquer une tension → pas assez pertinent si l’émotion est essentielle au scénario.
- Correct (média temporel) : sous-titres détaillant l’action (« Bruit de tonnerre – un personnage sursaute »).</t>
        </r>
      </text>
    </comment>
    <comment ref="C38" authorId="0">
      <text>
        <r>
          <rPr>
            <sz val="11"/>
            <color indexed="8"/>
            <rFont val="Helvetica Neue"/>
          </rPr>
          <t>Steven Ferreira:
1) Repérer les contenus additionnels déclenchés uniquement par CSS :
• Éléments visibles uniquement au survol (pseudo-classe :hover).
• Éléments visibles uniquement à la prise de focus (pseudo-classe :focus).
2) Vérifier les contenus déclenchés par le survol (Test 10.14.1) :
• Les contenus additionnels doivent aussi apparaître à l’activation du composant via clavier ou dispositif de pointage.
• OU apparaître à la prise de focus du composant.
• OU apparaître via l’activation ou la prise de focus d’un autre composant.
3) Vérifier les contenus déclenchés par le focus (Test 10.14.2) :
• Les contenus additionnels doivent aussi apparaître à l’activation du composant via clavier ou dispositif de pointage.
• OU apparaître au survol du composant.
• OU apparaître via l’activation ou le survol d’un autre composant.
4) Validation du test :
• ✅ Si les contenus additionnels sont accessibles à la fois au clavier et par tout dispositif de pointage, le test est validé.
• ❌ Si un contenu apparaît uniquement par le survol ou uniquement par le focus, sans autre moyen d’y accéder, le test échoue.</t>
        </r>
      </text>
    </comment>
    <comment ref="C45" authorId="0">
      <text>
        <r>
          <rPr>
            <sz val="11"/>
            <color indexed="8"/>
            <rFont val="Helvetica Neue"/>
          </rPr>
          <t>Steven Ferreira:
1) Repérer les champs soumis à un contrôle de saisie :
• Champs obligatoires (nom, email, message, etc.).
• Champs soumis à une contrainte de format (ex. email, téléphone).
2) Identifier la présence d’indications avant saisie :
• Les champs obligatoires sont-ils signalés visuellement ou textuellement ?
• L’utilisateur est-il informé des contraintes de format avant la validation ?
3) Vérifier le comportement à la validation :
• Le formulaire affiche-t-il des messages d’erreur clairs et contextualisés ?
• Les erreurs sont-elles signalées de manière accessible (texte, focus clavier, ARIA) ?
4) Validation du test :
✖ Si les champs obligatoires ne sont pas indiqués avant saisie ou si les erreurs ne sont pas signalées clairement → test échoué.
✔ Si tous les champs obligatoires et contraintes sont indiqués et les erreurs bien restituées → test validé.</t>
        </r>
      </text>
    </comment>
    <comment ref="C51" authorId="0">
      <text>
        <r>
          <rPr>
            <sz val="11"/>
            <color indexed="8"/>
            <rFont val="Helvetica Neue"/>
          </rPr>
          <t>Steven Ferreira:
1) Repérer
• Rafraîchissements automatiques (&lt;meta refresh&gt;, &lt;object&gt;, &lt;embed&gt;, &lt;svg&gt;, &lt;canvas&gt;).
• Redirections via &lt;meta&gt; ou scripts.
• Limites de temps de session (ex. authentification).
2) Vérifier selon le cas
a) Rafraîchissement (Test 13.1.1)
• L’utilisateur peut arrêter/relancer.
• OU prolonger le délai d’au moins ×10.
• OU être averti et avoir ≥ 20s pour réagir.
• OU délai ≥ 20h.
b) Redirection via &lt;meta&gt; (Test 13.1.2)
• Doit être immédiate (content="0;URL=...").
c) Redirection via script (Test 13.1.3)
• L’utilisateur peut arrêter/relancer.
• OU prolonger le délai d’au moins ×10.
• OU être averti et avoir ≥ 20s pour réagir.
• OU délai ≥ 20h.
d) Limite de session (Test 13.1.4)
• L’utilisateur peut supprimer la limite.
• OU prolonger la limite.
• OU délai ≥ 20h.
3) Validation
• ✅ Si pour chaque cas, un mécanisme de contrôle est présent → test validé.
• ❌ Si l’utilisateur subit une limite de temps sans contrôle → test échoué.
4) Cas particuliers
• Si la limite est essentielle (ex. redirection vers une URL actualisée, contenu en direct comme une bourse), le critère est non applicable.</t>
        </r>
      </text>
    </comment>
    <comment ref="C53" authorId="0">
      <text>
        <r>
          <rPr>
            <sz val="11"/>
            <color indexed="8"/>
            <rFont val="Helvetica Neue"/>
          </rPr>
          <t>Steven Ferreira:
1) Repérer
• Tous les contenus en mouvement ou clignotants déclenchés automatiquement :
• Animations CSS, GIFs, sliders.
• Textes défilants.
• Scripts qui font bouger ou clignoter un élément.
2) Vérifier
• L’utilisateur a un moyen de contrôle :
• Le mouvement/clignotement dure ≤ 5 secondes.
• OU possibilité d’arrêter et de relancer.
• OU possibilité de masquer/afficher.
• OU possibilité de voir tout le contenu sans mouvement/clignotement.
3) Validation
• ✅ Si l’utilisateur garde le contrôle → test validé.
• ❌ Si un contenu bouge/clignote en continu sans option pour le stopper → test échoué.</t>
        </r>
      </text>
    </comment>
  </commentList>
</comments>
</file>

<file path=xl/comments2.xml><?xml version="1.0" encoding="utf-8"?>
<comments xmlns="http://schemas.openxmlformats.org/spreadsheetml/2006/main">
  <authors>
    <author>Steven Ferreira</author>
  </authors>
  <commentList>
    <comment ref="C7" authorId="0">
      <text>
        <r>
          <rPr>
            <sz val="11"/>
            <color indexed="8"/>
            <rFont val="Helvetica Neue"/>
          </rPr>
          <t>Steven Ferreira:
1) Repérer
• Images informatives complexes : graphiques, schémas, infographies (&lt;img&gt;, &lt;object&gt;, &lt;embed&gt;, &lt;input type="image"&gt;, &lt;svg&gt;, &lt;canvas&gt;, role="img").
2) Vérifier
• Une description détaillée est accessible par :
• Attribut longdesc (ancien mais encore accepté).
• Texte alternatif qui mentionne une description adjacente.
• Lien ou bouton adjacent menant à la description.
• Attributs ARIA (aria-label, aria-labelledby, aria-describedby) reliant l’image à la description.
• Contenu textuel directement présent (ex. dans &lt;canvas&gt; ou via &lt;figcaption&gt;).
3) Validation
• ✅ Si la description permet d’obtenir les mêmes infos que l’image → test validé.
• ❌ Si la description est absente, incomplète ou non restituée par les lecteurs d’écran → test échoué.</t>
        </r>
      </text>
    </comment>
    <comment ref="C10" authorId="0">
      <text>
        <r>
          <rPr>
            <sz val="11"/>
            <color indexed="8"/>
            <rFont val="Helvetica Neue"/>
          </rPr>
          <t>Steven Ferreira:
1) Repérer
• Tous les cas où la couleur seule transmet une information :
• Texte coloré (ex. “les erreurs sont en rouge”).
• Indications de couleur dans une phrase (“les champs verts sont valides”).
• Images où la couleur seule différencie des éléments (graphique, plan, schéma).
• Propriétés CSS (color, background-color) servant à transmettre une info.
• Médias temporels (vidéo) ou non temporels (image, schéma) qui utilisent uniquement la couleur.
2) Vérifier
• L’information doit aussi être donnée par un autre moyen :
• Texte (attribut title, label clair, légende).
• Forme ou position.
• Icône ou symbole.
• Effet typographique (gras, souligné, etc.).
3) Validation
• ✅ Si toutes les infos données par couleur ont une alternative visuelle ou textuelle → test validé.
• ❌ Si une information repose uniquement sur la couleur → test échoué.</t>
        </r>
      </text>
    </comment>
    <comment ref="C16" authorId="0">
      <text>
        <r>
          <rPr>
            <sz val="11"/>
            <color indexed="8"/>
            <rFont val="Helvetica Neue"/>
          </rPr>
          <t>Steven Ferreira:
1) Repérer les médias non temporels :
• Images fixes (&lt;img&gt;).
• Graphiques, schémas, infographies, images dans des cartes.
• Toute ressource visuelle qui n’est pas une vidéo ou un son.
2) Vérifier la présence d’une alternative (Test 4.8.1) :
• Un lien ou bouton adjacent clairement identifiable permet d’accéder à une page contenant une alternative.
• OU un lien ou bouton adjacent clairement identifiable permet d’accéder à une alternative dans la même page.
3) Vérifier l’accessibilité de l’alternative (Test 4.8.2) :
• La page référencée par le lien ou bouton adjacent est accessible.
• OU l’alternative dans la page, référencée par le lien ou bouton adjacent, est accessible.
4) Cas particuliers (non applicable) :
• Si le média non temporel est purement décoratif (aucune information).
• Si le média est diffusé dans un environnement maîtrisé.
• Si le média est inséré via JavaScript en remplacement d’un contenu alternatif déjà présent.
5) Validation du test :
• ✅ Si chaque média non temporel a bien une alternative accessible, le test est validé.
• ❌ Si un média informatif n’a aucune alternative disponible ou accessible, le test échoue.</t>
        </r>
      </text>
    </comment>
    <comment ref="C17" authorId="0">
      <text>
        <r>
          <rPr>
            <sz val="11"/>
            <color indexed="8"/>
            <rFont val="Helvetica Neue"/>
          </rPr>
          <t>Steven Ferreira:
1) Repérer les médias non temporels avec alternative :
• Images fixes (&lt;img&gt;).
• Graphiques, schémas, infographies.
• Tout contenu visuel non temporel pour lequel une alternative existe (texte, page dédiée, description, etc.).
2) Vérifier la pertinence de l’alternative (Test 4.9.1) :
• L’alternative doit donner accès au même contenu.
• L’alternative doit offrir des fonctionnalités similaires (ex. un graphique → un tableau de données équivalent).
3) Validation du test :
• ✅ Si toutes les alternatives permettent d’obtenir le même contenu et les mêmes fonctionnalités → test validé.
• ❌ Si une alternative est incomplète ou ne reflète pas l’information donnée par le média → test échoué.</t>
        </r>
      </text>
    </comment>
    <comment ref="C22" authorId="0">
      <text>
        <r>
          <rPr>
            <sz val="11"/>
            <color indexed="8"/>
            <rFont val="Helvetica Neue"/>
          </rPr>
          <t>Steven Ferreira:
1) Repérer
• Tous les types de liens :
• Liens texte.
• Liens image (&lt;img&gt;, &lt;area&gt;, &lt;object&gt;, &lt;canvas&gt;, &lt;svg&gt;).
• Liens composites (texte + image).
• Liens SVG (&lt;svg&gt;&lt;a href=...&gt;).
2) Vérifier
• L’intitulé du lien (seul ou avec son contexte) permet de comprendre :
• Sa fonction (ce qu’il fait).
• Sa destination (où il mène).
• Pour les liens image → l’alternative textuelle fournit l’intitulé.
• Pour les liens composites → le texte + l’alternative de l’image forment l’intitulé.
• Pour les liens SVG → le nom accessible est issu du contenu &lt;text&gt;, &lt;title&gt; ou ARIA.
• Si un lien a un intitulé visible + un attribut (title, aria-label, aria-labelledby) → le nom accessible doit contenir au moins l’intitulé visible.
3) Validation
• ✅ Si chaque lien est compréhensible seul ou avec son contexte, le test est validé.
• ❌ Si un lien est ambigu (ex. “cliquez ici”, icône sans alternative, symbole sans explication) → test échoué.</t>
        </r>
      </text>
    </comment>
    <comment ref="C23" authorId="0">
      <text>
        <r>
          <rPr>
            <sz val="11"/>
            <color indexed="8"/>
            <rFont val="Helvetica Neue"/>
          </rPr>
          <t>Steven Ferreira:
1) Repérer
Retrouver tous les liens de la page :
les éléments &lt;a&gt; ayant un attribut href,
les éléments pourvus d’un attribut role="link",
les zones cliquables &lt;area&gt; liées à une image.
2) Vérifier
Pour chaque lien repéré, contrôler que :
entre &lt;a&gt; et &lt;/a&gt; il existe un intitulé (texte visible, image avec alt, contenu accessible via aria-label ou aria-labelledby),
cet intitulé n’est pas vide, ni réduit à des caractères décoratifs (par ex. … ou icône sans alternative).
👉 L’inspecteur d’accessibilité (onglet Accessibility de Firefox) doit afficher un Name non vide pour le lien.
3) Validation
Si chaque lien possède un intitulé valide et non vide → test validé.
Si un ou plusieurs liens n’ont aucun intitulé (contenu vide, image sans alt, icône seule sans texte alternatif) → non conforme.</t>
        </r>
      </text>
    </comment>
    <comment ref="C35" authorId="0">
      <text>
        <r>
          <rPr>
            <sz val="11"/>
            <color indexed="8"/>
            <rFont val="Helvetica Neue"/>
          </rPr>
          <t>Steven Ferreira:
Conseil pratique : Les outils comme axe DevTools détectent automatiquement les erreurs courantes liées à aria-hidden="true" (par exemple quand un élément caché contient un bouton ou un lien focusable). Vérifie toujours ces alertes, car elles révèlent une non-conformité typique du critère 10.8.
1) Repérer
• Tous les contenus cachés via :
• Attribut hidden.
• Attribut aria-hidden.
• CSS (display:none, visibility:hidden, etc.).
2) Vérifier
• Si le contenu est réellement décoratif/technique, il doit être ignoré par les technologies d’assistance.
• Si le contenu doit être utile à l’utilisateur, il doit être restitué :
• Après une action au clavier ou à la souris sur un élément qui le déclenche.
• OU après un repositionnement du focus programmé dessus.
3) Validation
• ✅ Si chaque contenu caché est correctement ignoré ou restitué → test validé.
• ❌ Si un contenu utile reste inaccessible aux technologies d’assistance → test échoué.</t>
        </r>
      </text>
    </comment>
    <comment ref="C36" authorId="0">
      <text>
        <r>
          <rPr>
            <sz val="11"/>
            <color indexed="8"/>
            <rFont val="Helvetica Neue"/>
          </rPr>
          <t>Steven Ferreira:
1) Repérer
Identifier dans la page :
-Textes mis en valeur uniquement par couleur, forme ou taille.
- Informations données par la position : « voir colonne de droite », « bouton en haut », etc.
- Graphiques où seules les formes ou couleurs distinguent les éléments.
- Médias (vidéo, audio, image, infographie) où une différence repose uniquement sur la présentation visuelle.
2) Vérifier
- Demander : si j’enlève la couleur, la forme, la taille ou la position, est-ce que l’information reste compréhensible ?
- Chercher un équivalent textuel ou symbolique clair.
3) Validation
- ✅ Conforme : l’information est disponible autrement (texte, légende, icône, label, description).
- ❌ Non conforme : l’information repose uniquement sur un indice visuel (taille, couleur, emplacement).
Exemples:
- Erreur (texte) : « Les champs obligatoires sont en rouge » → repose uniquement sur la couleur.
- Correct (texte) : « Les champs obligatoires sont indiqués par une étoile (*) » + mention textuelle « champ obligatoire ».
- Erreur (image) : un plan où seule la couleur distingue les zones.
- Correct (image) : plan avec couleurs + légendes textuelles (« Zone A – Entrée visiteurs », « Zone B – Parking »).
- Erreur (média) : une vidéo où on dit seulement « cliquez sur le carré » sans autre explication.
- Correct (média) : la vidéo indique « cliquez sur le carré bleu avec l’étiquette Valider ».</t>
        </r>
      </text>
    </comment>
    <comment ref="C37" authorId="0">
      <text>
        <r>
          <rPr>
            <sz val="11"/>
            <color indexed="8"/>
            <rFont val="Helvetica Neue"/>
          </rPr>
          <t>Steven Ferreira:
1) Repérer
Reprendre les mêmes cas que pour 10.9, mais se concentrer sur les alternatives déjà mises en place (texte, icône, légende, description).
2) Vérifier
- L’alternative est-elle pertinente et compréhensible pour tous les utilisateurs et tous les contextes (lecteur d’écran, impression N&amp;B, basse vision, etc.) ?
- Vérifier que la légende ou l’annotation donne bien l’info sans ambiguïté.
3) Validation
- ✅ Conforme : l’alternative transmet réellement la même information que la forme/taille/position.
- ❌ Non conforme : l’alternative existe mais est insuffisante, ambiguë, ou ne s’applique pas dans tous les contextes.
Exemples:
- Erreur (texte) : champs obligatoires signalés par une étoile, mais sans explication → un lecteur d’écran va lire « étoile », ce qui n’est pas clair.
- Correct (texte) : étoile + mention textuelle « champ obligatoire ».
- Erreur (image) : un graphique avec des couleurs + une légende « en bleu = hommes, en vert = femmes » → si l’impression est en N&amp;B, l’info est perdue.
- Correct (image) : graphique avec couleurs + motifs distinctifs (hachures, cercles) et légende textuelle claire.
- Erreur (média temporel) : une vidéo avec sous-titres « [musique dramatique] » pour indiquer une tension → pas assez pertinent si l’émotion est essentielle au scénario.
- Correct (média temporel) : sous-titres détaillant l’action (« Bruit de tonnerre – un personnage sursaute »).</t>
        </r>
      </text>
    </comment>
    <comment ref="C38" authorId="0">
      <text>
        <r>
          <rPr>
            <sz val="11"/>
            <color indexed="8"/>
            <rFont val="Helvetica Neue"/>
          </rPr>
          <t>Steven Ferreira:
1) Repérer les contenus additionnels déclenchés uniquement par CSS :
• Éléments visibles uniquement au survol (pseudo-classe :hover).
• Éléments visibles uniquement à la prise de focus (pseudo-classe :focus).
2) Vérifier les contenus déclenchés par le survol (Test 10.14.1) :
• Les contenus additionnels doivent aussi apparaître à l’activation du composant via clavier ou dispositif de pointage.
• OU apparaître à la prise de focus du composant.
• OU apparaître via l’activation ou la prise de focus d’un autre composant.
3) Vérifier les contenus déclenchés par le focus (Test 10.14.2) :
• Les contenus additionnels doivent aussi apparaître à l’activation du composant via clavier ou dispositif de pointage.
• OU apparaître au survol du composant.
• OU apparaître via l’activation ou le survol d’un autre composant.
4) Validation du test :
• ✅ Si les contenus additionnels sont accessibles à la fois au clavier et par tout dispositif de pointage, le test est validé.
• ❌ Si un contenu apparaît uniquement par le survol ou uniquement par le focus, sans autre moyen d’y accéder, le test échoue.</t>
        </r>
      </text>
    </comment>
    <comment ref="C45" authorId="0">
      <text>
        <r>
          <rPr>
            <sz val="11"/>
            <color indexed="8"/>
            <rFont val="Helvetica Neue"/>
          </rPr>
          <t>Steven Ferreira:
1) Repérer les champs soumis à un contrôle de saisie :
• Champs obligatoires (nom, email, message, etc.).
• Champs soumis à une contrainte de format (ex. email, téléphone).
2) Identifier la présence d’indications avant saisie :
• Les champs obligatoires sont-ils signalés visuellement ou textuellement ?
• L’utilisateur est-il informé des contraintes de format avant la validation ?
3) Vérifier le comportement à la validation :
• Le formulaire affiche-t-il des messages d’erreur clairs et contextualisés ?
• Les erreurs sont-elles signalées de manière accessible (texte, focus clavier, ARIA) ?
4) Validation du test :
✖ Si les champs obligatoires ne sont pas indiqués avant saisie ou si les erreurs ne sont pas signalées clairement → test échoué.
✔ Si tous les champs obligatoires et contraintes sont indiqués et les erreurs bien restituées → test validé.</t>
        </r>
      </text>
    </comment>
    <comment ref="C51" authorId="0">
      <text>
        <r>
          <rPr>
            <sz val="11"/>
            <color indexed="8"/>
            <rFont val="Helvetica Neue"/>
          </rPr>
          <t>Steven Ferreira:
1) Repérer
• Rafraîchissements automatiques (&lt;meta refresh&gt;, &lt;object&gt;, &lt;embed&gt;, &lt;svg&gt;, &lt;canvas&gt;).
• Redirections via &lt;meta&gt; ou scripts.
• Limites de temps de session (ex. authentification).
2) Vérifier selon le cas
a) Rafraîchissement (Test 13.1.1)
• L’utilisateur peut arrêter/relancer.
• OU prolonger le délai d’au moins ×10.
• OU être averti et avoir ≥ 20s pour réagir.
• OU délai ≥ 20h.
b) Redirection via &lt;meta&gt; (Test 13.1.2)
• Doit être immédiate (content="0;URL=...").
c) Redirection via script (Test 13.1.3)
• L’utilisateur peut arrêter/relancer.
• OU prolonger le délai d’au moins ×10.
• OU être averti et avoir ≥ 20s pour réagir.
• OU délai ≥ 20h.
d) Limite de session (Test 13.1.4)
• L’utilisateur peut supprimer la limite.
• OU prolonger la limite.
• OU délai ≥ 20h.
3) Validation
• ✅ Si pour chaque cas, un mécanisme de contrôle est présent → test validé.
• ❌ Si l’utilisateur subit une limite de temps sans contrôle → test échoué.
4) Cas particuliers
• Si la limite est essentielle (ex. redirection vers une URL actualisée, contenu en direct comme une bourse), le critère est non applicable.</t>
        </r>
      </text>
    </comment>
    <comment ref="C53" authorId="0">
      <text>
        <r>
          <rPr>
            <sz val="11"/>
            <color indexed="8"/>
            <rFont val="Helvetica Neue"/>
          </rPr>
          <t>Steven Ferreira:
1) Repérer
• Tous les contenus en mouvement ou clignotants déclenchés automatiquement :
• Animations CSS, GIFs, sliders.
• Textes défilants.
• Scripts qui font bouger ou clignoter un élément.
2) Vérifier
• L’utilisateur a un moyen de contrôle :
• Le mouvement/clignotement dure ≤ 5 secondes.
• OU possibilité d’arrêter et de relancer.
• OU possibilité de masquer/afficher.
• OU possibilité de voir tout le contenu sans mouvement/clignotement.
3) Validation
• ✅ Si l’utilisateur garde le contrôle → test validé.
• ❌ Si un contenu bouge/clignote en continu sans option pour le stopper → test échoué.</t>
        </r>
      </text>
    </comment>
  </commentList>
</comments>
</file>

<file path=xl/comments3.xml><?xml version="1.0" encoding="utf-8"?>
<comments xmlns="http://schemas.openxmlformats.org/spreadsheetml/2006/main">
  <authors>
    <author>Steven Ferreira</author>
  </authors>
  <commentList>
    <comment ref="C7" authorId="0">
      <text>
        <r>
          <rPr>
            <sz val="11"/>
            <color indexed="8"/>
            <rFont val="Helvetica Neue"/>
          </rPr>
          <t>Steven Ferreira:
1) Repérer
• Images informatives complexes : graphiques, schémas, infographies (&lt;img&gt;, &lt;object&gt;, &lt;embed&gt;, &lt;input type="image"&gt;, &lt;svg&gt;, &lt;canvas&gt;, role="img").
2) Vérifier
• Une description détaillée est accessible par :
• Attribut longdesc (ancien mais encore accepté).
• Texte alternatif qui mentionne une description adjacente.
• Lien ou bouton adjacent menant à la description.
• Attributs ARIA (aria-label, aria-labelledby, aria-describedby) reliant l’image à la description.
• Contenu textuel directement présent (ex. dans &lt;canvas&gt; ou via &lt;figcaption&gt;).
3) Validation
• ✅ Si la description permet d’obtenir les mêmes infos que l’image → test validé.
• ❌ Si la description est absente, incomplète ou non restituée par les lecteurs d’écran → test échoué.</t>
        </r>
      </text>
    </comment>
    <comment ref="C10" authorId="0">
      <text>
        <r>
          <rPr>
            <sz val="11"/>
            <color indexed="8"/>
            <rFont val="Helvetica Neue"/>
          </rPr>
          <t>Steven Ferreira:
1) Repérer
• Tous les cas où la couleur seule transmet une information :
• Texte coloré (ex. “les erreurs sont en rouge”).
• Indications de couleur dans une phrase (“les champs verts sont valides”).
• Images où la couleur seule différencie des éléments (graphique, plan, schéma).
• Propriétés CSS (color, background-color) servant à transmettre une info.
• Médias temporels (vidéo) ou non temporels (image, schéma) qui utilisent uniquement la couleur.
2) Vérifier
• L’information doit aussi être donnée par un autre moyen :
• Texte (attribut title, label clair, légende).
• Forme ou position.
• Icône ou symbole.
• Effet typographique (gras, souligné, etc.).
3) Validation
• ✅ Si toutes les infos données par couleur ont une alternative visuelle ou textuelle → test validé.
• ❌ Si une information repose uniquement sur la couleur → test échoué.</t>
        </r>
      </text>
    </comment>
    <comment ref="C16" authorId="0">
      <text>
        <r>
          <rPr>
            <sz val="11"/>
            <color indexed="8"/>
            <rFont val="Helvetica Neue"/>
          </rPr>
          <t>Steven Ferreira:
1) Repérer les médias non temporels :
• Images fixes (&lt;img&gt;).
• Graphiques, schémas, infographies, images dans des cartes.
• Toute ressource visuelle qui n’est pas une vidéo ou un son.
2) Vérifier la présence d’une alternative (Test 4.8.1) :
• Un lien ou bouton adjacent clairement identifiable permet d’accéder à une page contenant une alternative.
• OU un lien ou bouton adjacent clairement identifiable permet d’accéder à une alternative dans la même page.
3) Vérifier l’accessibilité de l’alternative (Test 4.8.2) :
• La page référencée par le lien ou bouton adjacent est accessible.
• OU l’alternative dans la page, référencée par le lien ou bouton adjacent, est accessible.
4) Cas particuliers (non applicable) :
• Si le média non temporel est purement décoratif (aucune information).
• Si le média est diffusé dans un environnement maîtrisé.
• Si le média est inséré via JavaScript en remplacement d’un contenu alternatif déjà présent.
5) Validation du test :
• ✅ Si chaque média non temporel a bien une alternative accessible, le test est validé.
• ❌ Si un média informatif n’a aucune alternative disponible ou accessible, le test échoue.</t>
        </r>
      </text>
    </comment>
    <comment ref="C17" authorId="0">
      <text>
        <r>
          <rPr>
            <sz val="11"/>
            <color indexed="8"/>
            <rFont val="Helvetica Neue"/>
          </rPr>
          <t>Steven Ferreira:
1) Repérer les médias non temporels avec alternative :
• Images fixes (&lt;img&gt;).
• Graphiques, schémas, infographies.
• Tout contenu visuel non temporel pour lequel une alternative existe (texte, page dédiée, description, etc.).
2) Vérifier la pertinence de l’alternative (Test 4.9.1) :
• L’alternative doit donner accès au même contenu.
• L’alternative doit offrir des fonctionnalités similaires (ex. un graphique → un tableau de données équivalent).
3) Validation du test :
• ✅ Si toutes les alternatives permettent d’obtenir le même contenu et les mêmes fonctionnalités → test validé.
• ❌ Si une alternative est incomplète ou ne reflète pas l’information donnée par le média → test échoué.</t>
        </r>
      </text>
    </comment>
    <comment ref="C22" authorId="0">
      <text>
        <r>
          <rPr>
            <sz val="11"/>
            <color indexed="8"/>
            <rFont val="Helvetica Neue"/>
          </rPr>
          <t>Steven Ferreira:
1) Repérer
• Tous les types de liens :
• Liens texte.
• Liens image (&lt;img&gt;, &lt;area&gt;, &lt;object&gt;, &lt;canvas&gt;, &lt;svg&gt;).
• Liens composites (texte + image).
• Liens SVG (&lt;svg&gt;&lt;a href=...&gt;).
2) Vérifier
• L’intitulé du lien (seul ou avec son contexte) permet de comprendre :
• Sa fonction (ce qu’il fait).
• Sa destination (où il mène).
• Pour les liens image → l’alternative textuelle fournit l’intitulé.
• Pour les liens composites → le texte + l’alternative de l’image forment l’intitulé.
• Pour les liens SVG → le nom accessible est issu du contenu &lt;text&gt;, &lt;title&gt; ou ARIA.
• Si un lien a un intitulé visible + un attribut (title, aria-label, aria-labelledby) → le nom accessible doit contenir au moins l’intitulé visible.
3) Validation
• ✅ Si chaque lien est compréhensible seul ou avec son contexte, le test est validé.
• ❌ Si un lien est ambigu (ex. “cliquez ici”, icône sans alternative, symbole sans explication) → test échoué.</t>
        </r>
      </text>
    </comment>
    <comment ref="C23" authorId="0">
      <text>
        <r>
          <rPr>
            <sz val="11"/>
            <color indexed="8"/>
            <rFont val="Helvetica Neue"/>
          </rPr>
          <t>Steven Ferreira:
1) Repérer
Retrouver tous les liens de la page :
les éléments &lt;a&gt; ayant un attribut href,
les éléments pourvus d’un attribut role="link",
les zones cliquables &lt;area&gt; liées à une image.
2) Vérifier
Pour chaque lien repéré, contrôler que :
entre &lt;a&gt; et &lt;/a&gt; il existe un intitulé (texte visible, image avec alt, contenu accessible via aria-label ou aria-labelledby),
cet intitulé n’est pas vide, ni réduit à des caractères décoratifs (par ex. … ou icône sans alternative).
👉 L’inspecteur d’accessibilité (onglet Accessibility de Firefox) doit afficher un Name non vide pour le lien.
3) Validation
Si chaque lien possède un intitulé valide et non vide → test validé.
Si un ou plusieurs liens n’ont aucun intitulé (contenu vide, image sans alt, icône seule sans texte alternatif) → non conforme.</t>
        </r>
      </text>
    </comment>
    <comment ref="C35" authorId="0">
      <text>
        <r>
          <rPr>
            <sz val="11"/>
            <color indexed="8"/>
            <rFont val="Helvetica Neue"/>
          </rPr>
          <t>Steven Ferreira:
Conseil pratique : Les outils comme axe DevTools détectent automatiquement les erreurs courantes liées à aria-hidden="true" (par exemple quand un élément caché contient un bouton ou un lien focusable). Vérifie toujours ces alertes, car elles révèlent une non-conformité typique du critère 10.8.
1) Repérer
• Tous les contenus cachés via :
• Attribut hidden.
• Attribut aria-hidden.
• CSS (display:none, visibility:hidden, etc.).
2) Vérifier
• Si le contenu est réellement décoratif/technique, il doit être ignoré par les technologies d’assistance.
• Si le contenu doit être utile à l’utilisateur, il doit être restitué :
• Après une action au clavier ou à la souris sur un élément qui le déclenche.
• OU après un repositionnement du focus programmé dessus.
3) Validation
• ✅ Si chaque contenu caché est correctement ignoré ou restitué → test validé.
• ❌ Si un contenu utile reste inaccessible aux technologies d’assistance → test échoué.</t>
        </r>
      </text>
    </comment>
    <comment ref="C36" authorId="0">
      <text>
        <r>
          <rPr>
            <sz val="11"/>
            <color indexed="8"/>
            <rFont val="Helvetica Neue"/>
          </rPr>
          <t>Steven Ferreira:
1) Repérer
Identifier dans la page :
-Textes mis en valeur uniquement par couleur, forme ou taille.
- Informations données par la position : « voir colonne de droite », « bouton en haut », etc.
- Graphiques où seules les formes ou couleurs distinguent les éléments.
- Médias (vidéo, audio, image, infographie) où une différence repose uniquement sur la présentation visuelle.
2) Vérifier
- Demander : si j’enlève la couleur, la forme, la taille ou la position, est-ce que l’information reste compréhensible ?
- Chercher un équivalent textuel ou symbolique clair.
3) Validation
- ✅ Conforme : l’information est disponible autrement (texte, légende, icône, label, description).
- ❌ Non conforme : l’information repose uniquement sur un indice visuel (taille, couleur, emplacement).
Exemples:
- Erreur (texte) : « Les champs obligatoires sont en rouge » → repose uniquement sur la couleur.
- Correct (texte) : « Les champs obligatoires sont indiqués par une étoile (*) » + mention textuelle « champ obligatoire ».
- Erreur (image) : un plan où seule la couleur distingue les zones.
- Correct (image) : plan avec couleurs + légendes textuelles (« Zone A – Entrée visiteurs », « Zone B – Parking »).
- Erreur (média) : une vidéo où on dit seulement « cliquez sur le carré » sans autre explication.
- Correct (média) : la vidéo indique « cliquez sur le carré bleu avec l’étiquette Valider ».</t>
        </r>
      </text>
    </comment>
    <comment ref="C37" authorId="0">
      <text>
        <r>
          <rPr>
            <sz val="11"/>
            <color indexed="8"/>
            <rFont val="Helvetica Neue"/>
          </rPr>
          <t>Steven Ferreira:
1) Repérer
Reprendre les mêmes cas que pour 10.9, mais se concentrer sur les alternatives déjà mises en place (texte, icône, légende, description).
2) Vérifier
- L’alternative est-elle pertinente et compréhensible pour tous les utilisateurs et tous les contextes (lecteur d’écran, impression N&amp;B, basse vision, etc.) ?
- Vérifier que la légende ou l’annotation donne bien l’info sans ambiguïté.
3) Validation
- ✅ Conforme : l’alternative transmet réellement la même information que la forme/taille/position.
- ❌ Non conforme : l’alternative existe mais est insuffisante, ambiguë, ou ne s’applique pas dans tous les contextes.
Exemples:
- Erreur (texte) : champs obligatoires signalés par une étoile, mais sans explication → un lecteur d’écran va lire « étoile », ce qui n’est pas clair.
- Correct (texte) : étoile + mention textuelle « champ obligatoire ».
- Erreur (image) : un graphique avec des couleurs + une légende « en bleu = hommes, en vert = femmes » → si l’impression est en N&amp;B, l’info est perdue.
- Correct (image) : graphique avec couleurs + motifs distinctifs (hachures, cercles) et légende textuelle claire.
- Erreur (média temporel) : une vidéo avec sous-titres « [musique dramatique] » pour indiquer une tension → pas assez pertinent si l’émotion est essentielle au scénario.
- Correct (média temporel) : sous-titres détaillant l’action (« Bruit de tonnerre – un personnage sursaute »).</t>
        </r>
      </text>
    </comment>
    <comment ref="C38" authorId="0">
      <text>
        <r>
          <rPr>
            <sz val="11"/>
            <color indexed="8"/>
            <rFont val="Helvetica Neue"/>
          </rPr>
          <t>Steven Ferreira:
1) Repérer les contenus additionnels déclenchés uniquement par CSS :
• Éléments visibles uniquement au survol (pseudo-classe :hover).
• Éléments visibles uniquement à la prise de focus (pseudo-classe :focus).
2) Vérifier les contenus déclenchés par le survol (Test 10.14.1) :
• Les contenus additionnels doivent aussi apparaître à l’activation du composant via clavier ou dispositif de pointage.
• OU apparaître à la prise de focus du composant.
• OU apparaître via l’activation ou la prise de focus d’un autre composant.
3) Vérifier les contenus déclenchés par le focus (Test 10.14.2) :
• Les contenus additionnels doivent aussi apparaître à l’activation du composant via clavier ou dispositif de pointage.
• OU apparaître au survol du composant.
• OU apparaître via l’activation ou le survol d’un autre composant.
4) Validation du test :
• ✅ Si les contenus additionnels sont accessibles à la fois au clavier et par tout dispositif de pointage, le test est validé.
• ❌ Si un contenu apparaît uniquement par le survol ou uniquement par le focus, sans autre moyen d’y accéder, le test échoue.</t>
        </r>
      </text>
    </comment>
    <comment ref="C45" authorId="0">
      <text>
        <r>
          <rPr>
            <sz val="11"/>
            <color indexed="8"/>
            <rFont val="Helvetica Neue"/>
          </rPr>
          <t>Steven Ferreira:
1) Repérer les champs soumis à un contrôle de saisie :
• Champs obligatoires (nom, email, message, etc.).
• Champs soumis à une contrainte de format (ex. email, téléphone).
2) Identifier la présence d’indications avant saisie :
• Les champs obligatoires sont-ils signalés visuellement ou textuellement ?
• L’utilisateur est-il informé des contraintes de format avant la validation ?
3) Vérifier le comportement à la validation :
• Le formulaire affiche-t-il des messages d’erreur clairs et contextualisés ?
• Les erreurs sont-elles signalées de manière accessible (texte, focus clavier, ARIA) ?
4) Validation du test :
✖ Si les champs obligatoires ne sont pas indiqués avant saisie ou si les erreurs ne sont pas signalées clairement → test échoué.
✔ Si tous les champs obligatoires et contraintes sont indiqués et les erreurs bien restituées → test validé.</t>
        </r>
      </text>
    </comment>
    <comment ref="C51" authorId="0">
      <text>
        <r>
          <rPr>
            <sz val="11"/>
            <color indexed="8"/>
            <rFont val="Helvetica Neue"/>
          </rPr>
          <t>Steven Ferreira:
1) Repérer
• Rafraîchissements automatiques (&lt;meta refresh&gt;, &lt;object&gt;, &lt;embed&gt;, &lt;svg&gt;, &lt;canvas&gt;).
• Redirections via &lt;meta&gt; ou scripts.
• Limites de temps de session (ex. authentification).
2) Vérifier selon le cas
a) Rafraîchissement (Test 13.1.1)
• L’utilisateur peut arrêter/relancer.
• OU prolonger le délai d’au moins ×10.
• OU être averti et avoir ≥ 20s pour réagir.
• OU délai ≥ 20h.
b) Redirection via &lt;meta&gt; (Test 13.1.2)
• Doit être immédiate (content="0;URL=...").
c) Redirection via script (Test 13.1.3)
• L’utilisateur peut arrêter/relancer.
• OU prolonger le délai d’au moins ×10.
• OU être averti et avoir ≥ 20s pour réagir.
• OU délai ≥ 20h.
d) Limite de session (Test 13.1.4)
• L’utilisateur peut supprimer la limite.
• OU prolonger la limite.
• OU délai ≥ 20h.
3) Validation
• ✅ Si pour chaque cas, un mécanisme de contrôle est présent → test validé.
• ❌ Si l’utilisateur subit une limite de temps sans contrôle → test échoué.
4) Cas particuliers
• Si la limite est essentielle (ex. redirection vers une URL actualisée, contenu en direct comme une bourse), le critère est non applicable.</t>
        </r>
      </text>
    </comment>
    <comment ref="C53" authorId="0">
      <text>
        <r>
          <rPr>
            <sz val="11"/>
            <color indexed="8"/>
            <rFont val="Helvetica Neue"/>
          </rPr>
          <t>Steven Ferreira:
1) Repérer
• Tous les contenus en mouvement ou clignotants déclenchés automatiquement :
• Animations CSS, GIFs, sliders.
• Textes défilants.
• Scripts qui font bouger ou clignoter un élément.
2) Vérifier
• L’utilisateur a un moyen de contrôle :
• Le mouvement/clignotement dure ≤ 5 secondes.
• OU possibilité d’arrêter et de relancer.
• OU possibilité de masquer/afficher.
• OU possibilité de voir tout le contenu sans mouvement/clignotement.
3) Validation
• ✅ Si l’utilisateur garde le contrôle → test validé.
• ❌ Si un contenu bouge/clignote en continu sans option pour le stopper → test échoué.</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<sst xmlns="http://schemas.openxmlformats.org/spreadsheetml/2006/main" uniqueCount="174">
  <si>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</si>
  <si>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</si>
  <si>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</si>
  <si>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</si>
  <si>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BaseDeCalcul</t>
  </si>
  <si>
    <t>Table 1</t>
  </si>
  <si>
    <t>Niveau</t>
  </si>
  <si>
    <t>P01</t>
  </si>
  <si>
    <t>P02</t>
  </si>
  <si>
    <t>P03</t>
  </si>
  <si>
    <t>C</t>
  </si>
  <si>
    <t>NC</t>
  </si>
  <si>
    <t>NA</t>
  </si>
  <si>
    <t>NT</t>
  </si>
  <si>
    <t>TOTAL D</t>
  </si>
  <si>
    <t>A</t>
  </si>
  <si>
    <t>AA</t>
  </si>
  <si>
    <t>TOTAL C</t>
  </si>
  <si>
    <t>TOTAL NC</t>
  </si>
  <si>
    <t>TOTAL NA</t>
  </si>
  <si>
    <t>TAUX MOYEN</t>
  </si>
  <si>
    <t>Synthèse</t>
  </si>
  <si>
    <t>Synthèse par thématiques et par statuts</t>
  </si>
  <si>
    <t>Statut</t>
  </si>
  <si>
    <t>IMAGES</t>
  </si>
  <si>
    <t>CADRES</t>
  </si>
  <si>
    <t>COULEURS</t>
  </si>
  <si>
    <t>MULTIMÉDIA</t>
  </si>
  <si>
    <t>TABLEAUX</t>
  </si>
  <si>
    <t>LIENS</t>
  </si>
  <si>
    <t>SCRIPTS</t>
  </si>
  <si>
    <t>ÉLÉMENTS OBLIGATOIRES</t>
  </si>
  <si>
    <t>STRUCTURATION</t>
  </si>
  <si>
    <t>PRÉSENTATION</t>
  </si>
  <si>
    <t>FORMULAIRES</t>
  </si>
  <si>
    <t>NAVIGATION</t>
  </si>
  <si>
    <t>CONSULTATION</t>
  </si>
  <si>
    <t>D</t>
  </si>
  <si>
    <t>Pourcentage de critères respectés (somme des critères conformes divisée par le nombre de critères applicables) :</t>
  </si>
  <si>
    <t>Taux moyen de conformité du service en ligne (moyenne des taux de conformité de chaque page) :</t>
  </si>
  <si>
    <t>Échelle</t>
  </si>
  <si>
    <t>start %</t>
  </si>
  <si>
    <t>end %</t>
  </si>
  <si>
    <t>Label</t>
  </si>
  <si>
    <t>très faible</t>
  </si>
  <si>
    <t>faible</t>
  </si>
  <si>
    <t>moyen</t>
  </si>
  <si>
    <t>bon</t>
  </si>
  <si>
    <t>très bon</t>
  </si>
  <si>
    <t>Échantillon</t>
  </si>
  <si>
    <t>AUDIT SIMPLIFIÉ – GRILLE D'ÉVALUATION</t>
  </si>
  <si>
    <t>Échantillon évalué</t>
  </si>
  <si>
    <t xml:space="preserve">Date : </t>
  </si>
  <si>
    <t>Site :</t>
  </si>
  <si>
    <t>N° page</t>
  </si>
  <si>
    <t>Titre de la page</t>
  </si>
  <si>
    <t>URL</t>
  </si>
  <si>
    <t>Critère-INC</t>
  </si>
  <si>
    <t>Critère</t>
  </si>
  <si>
    <t>Recommandation</t>
  </si>
  <si>
    <t>Auto-NA</t>
  </si>
  <si>
    <t>Dérogation</t>
  </si>
  <si>
    <t>Problèmes détectés</t>
  </si>
  <si>
    <t>Check-Problèmes-Détectés</t>
  </si>
  <si>
    <t>P01 0/52</t>
  </si>
  <si>
    <t>1.1</t>
  </si>
  <si>
    <t>Chaque image porteuse d’information a-t-elle une alternative textuelle ?</t>
  </si>
  <si>
    <t>1.2</t>
  </si>
  <si>
    <t>Chaque image de décoration est-elle correctement ignorée par les technologies d’assistance ?</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</si>
  <si>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</si>
  <si>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</si>
  <si>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</si>
  <si>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</si>
  <si>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</si>
  <si>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</si>
  <si>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</si>
  <si>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</si>
  <si>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</si>
  <si>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</si>
  <si>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Chaque cadre a-t-il un titre de cadre ?</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</si>
  <si>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</si>
  <si>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</si>
  <si>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</si>
  <si>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</si>
  <si>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</si>
  <si>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</si>
  <si>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</si>
  <si>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</si>
  <si>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</si>
  <si>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</si>
  <si>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</si>
  <si>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</si>
  <si>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</si>
  <si>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</si>
  <si>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</si>
  <si>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</si>
  <si>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</si>
  <si>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</si>
  <si>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</si>
  <si>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</si>
  <si>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</si>
  <si>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</si>
  <si>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</si>
  <si>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</si>
  <si>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6.1</t>
  </si>
  <si>
    <t>Chaque lien est-il explicite (hors cas particuliers) ?</t>
  </si>
  <si>
    <t>6.2</t>
  </si>
  <si>
    <t>Dans chaque page web, chaque lien a-t-il un intitulé ?</t>
  </si>
  <si>
    <t>7.3</t>
  </si>
  <si>
    <t>Chaque script est-il contrôlable par le clavier et par tout dispositif de pointage (hors cas particuliers) ?</t>
  </si>
  <si>
    <t>8.2</t>
  </si>
  <si>
    <t>Pour chaque page web, le code source généré est-il valide selon le type de document spécifié (hors cas particuliers) ?</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</si>
  <si>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</si>
  <si>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</si>
  <si>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</si>
  <si>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</si>
  <si>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</si>
  <si>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</si>
  <si>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</si>
  <si>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</si>
  <si>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</si>
  <si>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</si>
  <si>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</si>
  <si>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</si>
  <si>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9.1</t>
  </si>
  <si>
    <t>Dans chaque page web, l’information est-elle structurée par l’utilisation appropriée de titres ?</t>
  </si>
  <si>
    <t>9.2</t>
  </si>
  <si>
    <t>Dans chaque page web, la structure du document est-elle cohérente (hors cas particuliers) ?</t>
  </si>
  <si>
    <t>10.7</t>
  </si>
  <si>
    <t>Dans chaque page web, pour chaque élément recevant le focus, la prise de focus est-elle visible ?</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</si>
  <si>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</si>
  <si>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</si>
  <si>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</si>
  <si>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</si>
  <si>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</si>
  <si>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</si>
  <si>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10.14</t>
  </si>
  <si>
    <t>Dans chaque page web, les contenus additionnels apparaissant via les styles CSS uniquement peuvent-ils être rendus visibles au clavier et par tout dispositif de pointage ?</t>
  </si>
  <si>
    <t>11.1</t>
  </si>
  <si>
    <t>Chaque champ de formulaire a-t-il une étiquette ?</t>
  </si>
  <si>
    <t>11.2</t>
  </si>
  <si>
    <t>Chaque étiquette associée à un champ de formulaire est-elle pertinente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</si>
  <si>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</si>
  <si>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</si>
  <si>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</si>
  <si>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</si>
  <si>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</si>
  <si>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</si>
  <si>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11.9</t>
  </si>
  <si>
    <t>Dans chaque formulaire, l’intitulé de chaque bouton est-il pertinent (hors cas particuliers) ?</t>
  </si>
  <si>
    <t>11.10</t>
  </si>
  <si>
    <t>Dans chaque formulaire, le contrôle de saisie est-il utilisé de manière pertinente (hors cas particuliers)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</si>
  <si>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</si>
  <si>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</si>
  <si>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</si>
  <si>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</si>
  <si>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</si>
  <si>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</si>
  <si>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12.9</t>
  </si>
  <si>
    <t>Dans chaque page web, la navigation ne doit pas contenir de piège au clavier. Cette règle est-elle respectée ?</t>
  </si>
  <si>
    <t>12.11</t>
  </si>
  <si>
    <t>Dans chaque page web, les contenus additionnels apparaissant au survol, à la prise de focus ou à l’activation d’un composant d’interface sont-ils si nécessaire atteignables au clavier ?</t>
  </si>
  <si>
    <t>13.1</t>
  </si>
  <si>
    <t>Pour chaque page web, l’utilisateur a-t-il le contrôle de chaque limite de temps modifiant le contenu (hors cas particuliers) ?</t>
  </si>
  <si>
    <t>13.7</t>
  </si>
  <si>
    <t>Dans chaque page web, les changements brusques de luminosité ou les effets de flash sont-ils correctement utilisés ?</t>
  </si>
  <si>
    <t>13.8</t>
  </si>
  <si>
    <t>Dans chaque page web, chaque contenu en mouvement ou clignotant est-il contrôlable par l’utilisateur ?</t>
  </si>
  <si>
    <t>Statut-Auto-NA</t>
  </si>
  <si>
    <t>P02 0/52</t>
  </si>
  <si>
    <t>P03 0/52</t>
  </si>
  <si>
    <t>Page</t>
  </si>
  <si>
    <t>Messages NC</t>
  </si>
  <si>
    <t>Message NC Corrigé</t>
  </si>
</sst>
</file>

<file path=xl/styles.xml><?xml version="1.0" encoding="utf-8"?>
<styleSheet xmlns="http://schemas.openxmlformats.org/spreadsheetml/2006/main">
  <numFmts count="2">
    <numFmt numFmtId="0" formatCode="General"/>
    <numFmt numFmtId="59" formatCode="0.000000%"/>
  </numFmts>
  <fonts count="20">
    <font>
      <sz val="12"/>
      <color indexed="8"/>
      <name val="Arial"/>
    </font>
    <font>
      <sz val="14"/>
      <color indexed="8"/>
      <name val="Arial"/>
    </font>
    <font>
      <sz val="10"/>
      <color indexed="8"/>
      <name val="Arial"/>
    </font>
    <font>
      <sz val="12"/>
      <color indexed="8"/>
      <name val="Helvetica Neue"/>
    </font>
    <font>
      <u val="single"/>
      <sz val="12"/>
      <color indexed="11"/>
      <name val="Arial"/>
    </font>
    <font>
      <sz val="15"/>
      <color indexed="8"/>
      <name val="Calibri"/>
    </font>
    <font>
      <b val="1"/>
      <sz val="12"/>
      <color indexed="12"/>
      <name val="Arial"/>
    </font>
    <font>
      <sz val="12"/>
      <color indexed="8"/>
      <name val="Calibri"/>
    </font>
    <font>
      <b val="1"/>
      <sz val="12"/>
      <color indexed="8"/>
      <name val="Calibri"/>
    </font>
    <font>
      <b val="1"/>
      <sz val="12"/>
      <color indexed="12"/>
      <name val="Calibri"/>
    </font>
    <font>
      <b val="1"/>
      <sz val="11"/>
      <color indexed="12"/>
      <name val="Calibri"/>
    </font>
    <font>
      <sz val="11"/>
      <color indexed="8"/>
      <name val="Calibri"/>
    </font>
    <font>
      <b val="1"/>
      <sz val="8"/>
      <color indexed="12"/>
      <name val="Calibri"/>
    </font>
    <font>
      <b val="1"/>
      <sz val="11"/>
      <color indexed="19"/>
      <name val="Calibri"/>
    </font>
    <font>
      <b val="1"/>
      <sz val="11"/>
      <color indexed="8"/>
      <name val="Calibri"/>
    </font>
    <font>
      <sz val="10"/>
      <color indexed="8"/>
      <name val="Calibri"/>
    </font>
    <font>
      <b val="1"/>
      <sz val="10"/>
      <color indexed="8"/>
      <name val="Calibri"/>
    </font>
    <font>
      <b val="1"/>
      <sz val="12"/>
      <color indexed="8"/>
      <name val="Arial"/>
    </font>
    <font>
      <b val="1"/>
      <u val="double"/>
      <sz val="12"/>
      <color indexed="8"/>
      <name val="Arial"/>
    </font>
    <font>
      <sz val="11"/>
      <color indexed="8"/>
      <name val="Helvetica Neue"/>
    </font>
  </fonts>
  <fills count="1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8"/>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20"/>
        <bgColor auto="1"/>
      </patternFill>
    </fill>
    <fill>
      <patternFill patternType="solid">
        <fgColor indexed="21"/>
        <bgColor auto="1"/>
      </patternFill>
    </fill>
    <fill>
      <patternFill patternType="solid">
        <fgColor indexed="22"/>
        <bgColor auto="1"/>
      </patternFill>
    </fill>
    <fill>
      <patternFill patternType="solid">
        <fgColor indexed="26"/>
        <bgColor auto="1"/>
      </patternFill>
    </fill>
    <fill>
      <patternFill patternType="solid">
        <fgColor indexed="32"/>
        <bgColor auto="1"/>
      </patternFill>
    </fill>
    <fill>
      <patternFill patternType="solid">
        <fgColor indexed="33"/>
        <bgColor auto="1"/>
      </patternFill>
    </fill>
  </fills>
  <borders count="49">
    <border>
      <left/>
      <right/>
      <top/>
      <bottom/>
      <diagonal/>
    </border>
    <border>
      <left style="thin">
        <color indexed="13"/>
      </left>
      <right style="thin">
        <color indexed="13"/>
      </right>
      <top style="thin">
        <color indexed="13"/>
      </top>
      <bottom style="thin">
        <color indexed="13"/>
      </bottom>
      <diagonal/>
    </border>
    <border>
      <left style="thin">
        <color indexed="13"/>
      </left>
      <right/>
      <top style="thin">
        <color indexed="13"/>
      </top>
      <bottom style="thin">
        <color indexed="13"/>
      </bottom>
      <diagonal/>
    </border>
    <border>
      <left/>
      <right/>
      <top style="thin">
        <color indexed="13"/>
      </top>
      <bottom/>
      <diagonal/>
    </border>
    <border>
      <left/>
      <right style="hair">
        <color indexed="8"/>
      </right>
      <top style="thin">
        <color indexed="13"/>
      </top>
      <bottom/>
      <diagonal/>
    </border>
    <border>
      <left style="hair">
        <color indexed="8"/>
      </left>
      <right style="hair">
        <color indexed="8"/>
      </right>
      <top style="hair">
        <color indexed="8"/>
      </top>
      <bottom style="hair">
        <color indexed="8"/>
      </bottom>
      <diagonal/>
    </border>
    <border>
      <left style="hair">
        <color indexed="8"/>
      </left>
      <right style="thin">
        <color indexed="13"/>
      </right>
      <top style="thin">
        <color indexed="13"/>
      </top>
      <bottom style="thin">
        <color indexed="13"/>
      </bottom>
      <diagonal/>
    </border>
    <border>
      <left style="thin">
        <color indexed="13"/>
      </left>
      <right style="thin">
        <color indexed="13"/>
      </right>
      <top/>
      <bottom style="thin">
        <color indexed="13"/>
      </bottom>
      <diagonal/>
    </border>
    <border>
      <left style="thin">
        <color indexed="13"/>
      </left>
      <right style="hair">
        <color indexed="8"/>
      </right>
      <top/>
      <bottom style="thin">
        <color indexed="13"/>
      </bottom>
      <diagonal/>
    </border>
    <border>
      <left style="thin">
        <color indexed="13"/>
      </left>
      <right style="hair">
        <color indexed="8"/>
      </right>
      <top style="thin">
        <color indexed="13"/>
      </top>
      <bottom style="thin">
        <color indexed="13"/>
      </bottom>
      <diagonal/>
    </border>
    <border>
      <left style="thin">
        <color indexed="13"/>
      </left>
      <right style="thin">
        <color indexed="13"/>
      </right>
      <top style="thin">
        <color indexed="13"/>
      </top>
      <bottom/>
      <diagonal/>
    </border>
    <border>
      <left style="thin">
        <color indexed="13"/>
      </left>
      <right style="hair">
        <color indexed="8"/>
      </right>
      <top style="thin">
        <color indexed="13"/>
      </top>
      <bottom/>
      <diagonal/>
    </border>
    <border>
      <left style="thin">
        <color indexed="13"/>
      </left>
      <right/>
      <top/>
      <bottom/>
      <diagonal/>
    </border>
    <border>
      <left/>
      <right/>
      <top/>
      <bottom/>
      <diagonal/>
    </border>
    <border>
      <left/>
      <right style="hair">
        <color indexed="8"/>
      </right>
      <top/>
      <bottom/>
      <diagonal/>
    </border>
    <border>
      <left style="hair">
        <color indexed="8"/>
      </left>
      <right/>
      <top style="thin">
        <color indexed="13"/>
      </top>
      <bottom style="thin">
        <color indexed="13"/>
      </bottom>
      <diagonal/>
    </border>
    <border>
      <left style="thin">
        <color indexed="13"/>
      </left>
      <right style="thin">
        <color indexed="13"/>
      </right>
      <top/>
      <bottom/>
      <diagonal/>
    </border>
    <border>
      <left style="thin">
        <color indexed="13"/>
      </left>
      <right style="hair">
        <color indexed="8"/>
      </right>
      <top/>
      <bottom/>
      <diagonal/>
    </border>
    <border>
      <left/>
      <right/>
      <top style="hair">
        <color indexed="8"/>
      </top>
      <bottom style="hair">
        <color indexed="8"/>
      </bottom>
      <diagonal/>
    </border>
    <border>
      <left/>
      <right/>
      <top style="thin">
        <color indexed="13"/>
      </top>
      <bottom style="thin">
        <color indexed="13"/>
      </bottom>
      <diagonal/>
    </border>
    <border>
      <left/>
      <right style="thin">
        <color indexed="13"/>
      </right>
      <top style="hair">
        <color indexed="8"/>
      </top>
      <bottom style="hair">
        <color indexed="8"/>
      </bottom>
      <diagonal/>
    </border>
    <border>
      <left style="thin">
        <color indexed="13"/>
      </left>
      <right style="thin">
        <color indexed="13"/>
      </right>
      <top style="hair">
        <color indexed="8"/>
      </top>
      <bottom style="thin">
        <color indexed="13"/>
      </bottom>
      <diagonal/>
    </border>
    <border>
      <left style="thin">
        <color indexed="13"/>
      </left>
      <right/>
      <top style="thin">
        <color indexed="13"/>
      </top>
      <bottom/>
      <diagonal/>
    </border>
    <border>
      <left/>
      <right style="thin">
        <color indexed="13"/>
      </right>
      <top style="thin">
        <color indexed="13"/>
      </top>
      <bottom style="thin">
        <color indexed="13"/>
      </bottom>
      <diagonal/>
    </border>
    <border>
      <left/>
      <right/>
      <top/>
      <bottom style="hair">
        <color indexed="8"/>
      </bottom>
      <diagonal/>
    </border>
    <border>
      <left style="hair">
        <color indexed="8"/>
      </left>
      <right style="hair">
        <color indexed="8"/>
      </right>
      <top style="hair">
        <color indexed="8"/>
      </top>
      <bottom style="medium">
        <color indexed="8"/>
      </bottom>
      <diagonal/>
    </border>
    <border>
      <left style="thin">
        <color indexed="13"/>
      </left>
      <right style="thin">
        <color indexed="13"/>
      </right>
      <top style="thin">
        <color indexed="13"/>
      </top>
      <bottom style="hair">
        <color indexed="8"/>
      </bottom>
      <diagonal/>
    </border>
    <border>
      <left style="hair">
        <color indexed="8"/>
      </left>
      <right style="hair">
        <color indexed="8"/>
      </right>
      <top style="medium">
        <color indexed="8"/>
      </top>
      <bottom style="hair">
        <color indexed="8"/>
      </bottom>
      <diagonal/>
    </border>
    <border>
      <left style="hair">
        <color indexed="8"/>
      </left>
      <right style="medium">
        <color indexed="8"/>
      </right>
      <top style="medium">
        <color indexed="8"/>
      </top>
      <bottom style="hair">
        <color indexed="8"/>
      </bottom>
      <diagonal/>
    </border>
    <border>
      <left style="medium">
        <color indexed="8"/>
      </left>
      <right style="hair">
        <color indexed="8"/>
      </right>
      <top style="thin">
        <color indexed="13"/>
      </top>
      <bottom style="thin">
        <color indexed="13"/>
      </bottom>
      <diagonal/>
    </border>
    <border>
      <left style="hair">
        <color indexed="8"/>
      </left>
      <right style="medium">
        <color indexed="8"/>
      </right>
      <top style="hair">
        <color indexed="8"/>
      </top>
      <bottom style="hair">
        <color indexed="8"/>
      </bottom>
      <diagonal/>
    </border>
    <border>
      <left style="hair">
        <color indexed="8"/>
      </left>
      <right style="medium">
        <color indexed="8"/>
      </right>
      <top style="hair">
        <color indexed="8"/>
      </top>
      <bottom style="medium">
        <color indexed="8"/>
      </bottom>
      <diagonal/>
    </border>
    <border>
      <left style="thin">
        <color indexed="13"/>
      </left>
      <right style="thin">
        <color indexed="13"/>
      </right>
      <top style="medium">
        <color indexed="8"/>
      </top>
      <bottom style="thin">
        <color indexed="13"/>
      </bottom>
      <diagonal/>
    </border>
    <border>
      <left style="thin">
        <color indexed="13"/>
      </left>
      <right/>
      <top/>
      <bottom style="hair">
        <color indexed="8"/>
      </bottom>
      <diagonal/>
    </border>
    <border>
      <left style="hair">
        <color indexed="8"/>
      </left>
      <right style="thin">
        <color indexed="13"/>
      </right>
      <top/>
      <bottom style="thin">
        <color indexed="13"/>
      </bottom>
      <diagonal/>
    </border>
    <border>
      <left/>
      <right style="thin">
        <color indexed="13"/>
      </right>
      <top style="thin">
        <color indexed="13"/>
      </top>
      <bottom style="hair">
        <color indexed="8"/>
      </bottom>
      <diagonal/>
    </border>
    <border>
      <left style="thin">
        <color indexed="13"/>
      </left>
      <right/>
      <top style="thin">
        <color indexed="13"/>
      </top>
      <bottom style="hair">
        <color indexed="8"/>
      </bottom>
      <diagonal/>
    </border>
    <border>
      <left style="hair">
        <color indexed="8"/>
      </left>
      <right style="hair">
        <color indexed="8"/>
      </right>
      <top style="hair">
        <color indexed="8"/>
      </top>
      <bottom style="thin">
        <color indexed="31"/>
      </bottom>
      <diagonal/>
    </border>
    <border>
      <left style="hair">
        <color indexed="8"/>
      </left>
      <right style="thin">
        <color indexed="13"/>
      </right>
      <top style="thin">
        <color indexed="31"/>
      </top>
      <bottom style="thin">
        <color indexed="13"/>
      </bottom>
      <diagonal/>
    </border>
    <border>
      <left style="hair">
        <color indexed="8"/>
      </left>
      <right style="thin">
        <color indexed="13"/>
      </right>
      <top style="thin">
        <color indexed="13"/>
      </top>
      <bottom style="hair">
        <color indexed="8"/>
      </bottom>
      <diagonal/>
    </border>
    <border>
      <left style="hair">
        <color indexed="8"/>
      </left>
      <right style="thin">
        <color indexed="13"/>
      </right>
      <top style="hair">
        <color indexed="8"/>
      </top>
      <bottom style="thin">
        <color indexed="13"/>
      </bottom>
      <diagonal/>
    </border>
    <border>
      <left style="thin">
        <color indexed="13"/>
      </left>
      <right style="thin">
        <color indexed="13"/>
      </right>
      <top style="thin">
        <color indexed="13"/>
      </top>
      <bottom style="thin">
        <color indexed="8"/>
      </bottom>
      <diagonal/>
    </border>
    <border>
      <left style="thin">
        <color indexed="13"/>
      </left>
      <right/>
      <top style="thin">
        <color indexed="13"/>
      </top>
      <bottom style="thin">
        <color indexed="8"/>
      </bottom>
      <diagonal/>
    </border>
    <border>
      <left/>
      <right/>
      <top style="thin">
        <color indexed="13"/>
      </top>
      <bottom style="thin">
        <color indexed="8"/>
      </bottom>
      <diagonal/>
    </border>
    <border>
      <left/>
      <right style="thin">
        <color indexed="13"/>
      </right>
      <top style="thin">
        <color indexed="13"/>
      </top>
      <bottom style="thin">
        <color indexed="8"/>
      </bottom>
      <diagonal/>
    </border>
    <border>
      <left style="thin">
        <color indexed="13"/>
      </left>
      <right style="hair">
        <color indexed="8"/>
      </right>
      <top style="thin">
        <color indexed="8"/>
      </top>
      <bottom style="thin">
        <color indexed="13"/>
      </bottom>
      <diagonal/>
    </border>
    <border>
      <left style="hair">
        <color indexed="8"/>
      </left>
      <right style="hair">
        <color indexed="8"/>
      </right>
      <top style="thin">
        <color indexed="8"/>
      </top>
      <bottom style="hair">
        <color indexed="8"/>
      </bottom>
      <diagonal/>
    </border>
    <border>
      <left style="hair">
        <color indexed="8"/>
      </left>
      <right style="thin">
        <color indexed="13"/>
      </right>
      <top style="thin">
        <color indexed="8"/>
      </top>
      <bottom style="thin">
        <color indexed="13"/>
      </bottom>
      <diagonal/>
    </border>
    <border>
      <left style="thin">
        <color indexed="13"/>
      </left>
      <right style="thin">
        <color indexed="13"/>
      </right>
      <top style="thin">
        <color indexed="8"/>
      </top>
      <bottom style="thin">
        <color indexed="13"/>
      </bottom>
      <diagonal/>
    </border>
  </borders>
  <cellStyleXfs count="1">
    <xf numFmtId="0" fontId="0" applyNumberFormat="0" applyFont="1" applyFill="0" applyBorder="0" applyAlignment="1" applyProtection="0">
      <alignment vertical="bottom"/>
    </xf>
  </cellStyleXfs>
  <cellXfs count="179">
    <xf numFmtId="0" fontId="0" applyNumberFormat="0" applyFont="1" applyFill="0" applyBorder="0" applyAlignment="1" applyProtection="0">
      <alignment vertical="bottom"/>
    </xf>
    <xf numFmtId="0" fontId="0" applyNumberFormat="0" applyFont="1" applyFill="0" applyBorder="0" applyAlignment="1" applyProtection="0">
      <alignment horizontal="left" vertical="bottom" wrapText="1"/>
    </xf>
    <xf numFmtId="0" fontId="1" applyNumberFormat="0" applyFont="1" applyFill="0" applyBorder="0" applyAlignment="1" applyProtection="0">
      <alignment horizontal="left" vertical="bottom"/>
    </xf>
    <xf numFmtId="0" fontId="0" fillId="2" applyNumberFormat="0" applyFont="1" applyFill="1" applyBorder="0" applyAlignment="1" applyProtection="0">
      <alignment horizontal="left" vertical="bottom"/>
    </xf>
    <xf numFmtId="0" fontId="0"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0" fillId="4" borderId="1" applyNumberFormat="0" applyFont="1" applyFill="1" applyBorder="1" applyAlignment="1" applyProtection="0">
      <alignment vertical="bottom"/>
    </xf>
    <xf numFmtId="49" fontId="0" fillId="4" borderId="2" applyNumberFormat="1" applyFont="1" applyFill="1" applyBorder="1" applyAlignment="1" applyProtection="0">
      <alignment vertical="bottom"/>
    </xf>
    <xf numFmtId="49" fontId="6" fillId="5" borderId="3" applyNumberFormat="1" applyFont="1" applyFill="1" applyBorder="1" applyAlignment="1" applyProtection="0">
      <alignment horizontal="center" vertical="bottom"/>
    </xf>
    <xf numFmtId="49" fontId="6" fillId="5" borderId="4" applyNumberFormat="1" applyFont="1" applyFill="1" applyBorder="1" applyAlignment="1" applyProtection="0">
      <alignment horizontal="center" vertical="bottom"/>
    </xf>
    <xf numFmtId="49" fontId="0" fillId="6" borderId="5" applyNumberFormat="1" applyFont="1" applyFill="1" applyBorder="1" applyAlignment="1" applyProtection="0">
      <alignment vertical="bottom"/>
    </xf>
    <xf numFmtId="0" fontId="0" fillId="4" borderId="6" applyNumberFormat="0" applyFont="1" applyFill="1" applyBorder="1" applyAlignment="1" applyProtection="0">
      <alignment vertical="bottom"/>
    </xf>
    <xf numFmtId="0" fontId="0" fillId="4" borderId="2" applyNumberFormat="0" applyFont="1" applyFill="1" applyBorder="1" applyAlignment="1" applyProtection="0">
      <alignment vertical="bottom"/>
    </xf>
    <xf numFmtId="0" fontId="0" fillId="4" borderId="7" applyNumberFormat="0" applyFont="1" applyFill="1" applyBorder="1" applyAlignment="1" applyProtection="0">
      <alignment vertical="bottom"/>
    </xf>
    <xf numFmtId="0" fontId="6" fillId="4" borderId="7" applyNumberFormat="0" applyFont="1" applyFill="1" applyBorder="1" applyAlignment="1" applyProtection="0">
      <alignment horizontal="center" vertical="bottom"/>
    </xf>
    <xf numFmtId="0" fontId="6" fillId="4" borderId="8" applyNumberFormat="0" applyFont="1" applyFill="1" applyBorder="1" applyAlignment="1" applyProtection="0">
      <alignment horizontal="center" vertical="bottom"/>
    </xf>
    <xf numFmtId="0" fontId="0" fillId="4" borderId="5" applyNumberFormat="0" applyFont="1" applyFill="1" applyBorder="1" applyAlignment="1" applyProtection="0">
      <alignment vertical="bottom"/>
    </xf>
    <xf numFmtId="0" fontId="7" fillId="4" borderId="1" applyNumberFormat="1" applyFont="1" applyFill="1" applyBorder="1" applyAlignment="1" applyProtection="0">
      <alignment vertical="bottom"/>
    </xf>
    <xf numFmtId="1" fontId="7" fillId="4" borderId="1" applyNumberFormat="1" applyFont="1" applyFill="1" applyBorder="1" applyAlignment="1" applyProtection="0">
      <alignment horizontal="center" vertical="bottom"/>
    </xf>
    <xf numFmtId="49" fontId="7" fillId="4" borderId="1" applyNumberFormat="1" applyFont="1" applyFill="1" applyBorder="1" applyAlignment="1" applyProtection="0">
      <alignment horizontal="center" vertical="bottom"/>
    </xf>
    <xf numFmtId="1" fontId="7" fillId="4" borderId="9" applyNumberFormat="1" applyFont="1" applyFill="1" applyBorder="1" applyAlignment="1" applyProtection="0">
      <alignment horizontal="center" vertical="bottom"/>
    </xf>
    <xf numFmtId="0" fontId="8" fillId="6" borderId="5" applyNumberFormat="1" applyFont="1" applyFill="1" applyBorder="1" applyAlignment="1" applyProtection="0">
      <alignment horizontal="center" vertical="bottom"/>
    </xf>
    <xf numFmtId="0" fontId="7" fillId="4" borderId="6" applyNumberFormat="0" applyFont="1" applyFill="1" applyBorder="1" applyAlignment="1" applyProtection="0">
      <alignment vertical="bottom"/>
    </xf>
    <xf numFmtId="0" fontId="7" fillId="4" borderId="10" applyNumberFormat="1" applyFont="1" applyFill="1" applyBorder="1" applyAlignment="1" applyProtection="0">
      <alignment vertical="bottom"/>
    </xf>
    <xf numFmtId="1" fontId="7" fillId="4" borderId="10" applyNumberFormat="1" applyFont="1" applyFill="1" applyBorder="1" applyAlignment="1" applyProtection="0">
      <alignment horizontal="center" vertical="bottom"/>
    </xf>
    <xf numFmtId="49" fontId="7" fillId="4" borderId="10" applyNumberFormat="1" applyFont="1" applyFill="1" applyBorder="1" applyAlignment="1" applyProtection="0">
      <alignment horizontal="center" vertical="bottom"/>
    </xf>
    <xf numFmtId="1" fontId="7" fillId="4" borderId="11" applyNumberFormat="1" applyFont="1" applyFill="1" applyBorder="1" applyAlignment="1" applyProtection="0">
      <alignment horizontal="center" vertical="bottom"/>
    </xf>
    <xf numFmtId="0" fontId="7" fillId="7" borderId="12" applyNumberFormat="0" applyFont="1" applyFill="1" applyBorder="1" applyAlignment="1" applyProtection="0">
      <alignment vertical="bottom"/>
    </xf>
    <xf numFmtId="0" fontId="7" fillId="7" borderId="13" applyNumberFormat="0" applyFont="1" applyFill="1" applyBorder="1" applyAlignment="1" applyProtection="0">
      <alignment horizontal="center" vertical="bottom"/>
    </xf>
    <xf numFmtId="0" fontId="7" fillId="7" borderId="14" applyNumberFormat="0" applyFont="1" applyFill="1" applyBorder="1" applyAlignment="1" applyProtection="0">
      <alignment horizontal="center" vertical="bottom"/>
    </xf>
    <xf numFmtId="0" fontId="9" fillId="7" borderId="5" applyNumberFormat="1" applyFont="1" applyFill="1" applyBorder="1" applyAlignment="1" applyProtection="0">
      <alignment horizontal="center" vertical="bottom"/>
    </xf>
    <xf numFmtId="0" fontId="7" fillId="4" borderId="15" applyNumberFormat="0" applyFont="1" applyFill="1" applyBorder="1" applyAlignment="1" applyProtection="0">
      <alignment vertical="bottom"/>
    </xf>
    <xf numFmtId="0" fontId="7" fillId="7" borderId="13" applyNumberFormat="0" applyFont="1" applyFill="1" applyBorder="1" applyAlignment="1" applyProtection="0">
      <alignment vertical="bottom"/>
    </xf>
    <xf numFmtId="0" fontId="7" fillId="4" borderId="16" applyNumberFormat="1" applyFont="1" applyFill="1" applyBorder="1" applyAlignment="1" applyProtection="0">
      <alignment vertical="bottom"/>
    </xf>
    <xf numFmtId="1" fontId="7" fillId="4" borderId="16" applyNumberFormat="1" applyFont="1" applyFill="1" applyBorder="1" applyAlignment="1" applyProtection="0">
      <alignment horizontal="center" vertical="bottom"/>
    </xf>
    <xf numFmtId="49" fontId="7" fillId="4" borderId="16" applyNumberFormat="1" applyFont="1" applyFill="1" applyBorder="1" applyAlignment="1" applyProtection="0">
      <alignment horizontal="center" vertical="bottom"/>
    </xf>
    <xf numFmtId="1" fontId="7" fillId="4" borderId="17" applyNumberFormat="1" applyFont="1" applyFill="1" applyBorder="1" applyAlignment="1" applyProtection="0">
      <alignment horizontal="center" vertical="bottom"/>
    </xf>
    <xf numFmtId="0" fontId="7" fillId="4" borderId="7" applyNumberFormat="1" applyFont="1" applyFill="1" applyBorder="1" applyAlignment="1" applyProtection="0">
      <alignment vertical="bottom"/>
    </xf>
    <xf numFmtId="1" fontId="7" fillId="4" borderId="7" applyNumberFormat="1" applyFont="1" applyFill="1" applyBorder="1" applyAlignment="1" applyProtection="0">
      <alignment horizontal="center" vertical="bottom"/>
    </xf>
    <xf numFmtId="49" fontId="7" fillId="4" borderId="7" applyNumberFormat="1" applyFont="1" applyFill="1" applyBorder="1" applyAlignment="1" applyProtection="0">
      <alignment horizontal="center" vertical="bottom"/>
    </xf>
    <xf numFmtId="1" fontId="7" fillId="4" borderId="8" applyNumberFormat="1" applyFont="1" applyFill="1" applyBorder="1" applyAlignment="1" applyProtection="0">
      <alignment horizontal="center" vertical="bottom"/>
    </xf>
    <xf numFmtId="0" fontId="9" fillId="7" borderId="18" applyNumberFormat="1" applyFont="1" applyFill="1" applyBorder="1" applyAlignment="1" applyProtection="0">
      <alignment horizontal="center" vertical="bottom"/>
    </xf>
    <xf numFmtId="0" fontId="7" fillId="4" borderId="19" applyNumberFormat="0" applyFont="1" applyFill="1" applyBorder="1" applyAlignment="1" applyProtection="0">
      <alignment vertical="bottom"/>
    </xf>
    <xf numFmtId="0" fontId="9" fillId="7" borderId="20" applyNumberFormat="1" applyFont="1" applyFill="1" applyBorder="1" applyAlignment="1" applyProtection="0">
      <alignment horizontal="center" vertical="bottom"/>
    </xf>
    <xf numFmtId="0" fontId="7" fillId="4" borderId="7" applyNumberFormat="1" applyFont="1" applyFill="1" applyBorder="1" applyAlignment="1" applyProtection="0">
      <alignment horizontal="center" vertical="bottom"/>
    </xf>
    <xf numFmtId="0" fontId="7" fillId="4" borderId="1" applyNumberFormat="1" applyFont="1" applyFill="1" applyBorder="1" applyAlignment="1" applyProtection="0">
      <alignment horizontal="center" vertical="bottom"/>
    </xf>
    <xf numFmtId="0" fontId="7" fillId="4" borderId="7" applyNumberFormat="0" applyFont="1" applyFill="1" applyBorder="1" applyAlignment="1" applyProtection="0">
      <alignment vertical="bottom"/>
    </xf>
    <xf numFmtId="0" fontId="7" fillId="4" borderId="7" applyNumberFormat="0" applyFont="1" applyFill="1" applyBorder="1" applyAlignment="1" applyProtection="0">
      <alignment horizontal="center" vertical="bottom"/>
    </xf>
    <xf numFmtId="0" fontId="7" fillId="4" borderId="8" applyNumberFormat="1" applyFont="1" applyFill="1" applyBorder="1" applyAlignment="1" applyProtection="0">
      <alignment horizontal="center" vertical="bottom"/>
    </xf>
    <xf numFmtId="0" fontId="9" fillId="4" borderId="5" applyNumberFormat="0" applyFont="1" applyFill="1" applyBorder="1" applyAlignment="1" applyProtection="0">
      <alignment horizontal="center" vertical="bottom"/>
    </xf>
    <xf numFmtId="0" fontId="7" fillId="4" borderId="8" applyNumberFormat="0" applyFont="1" applyFill="1" applyBorder="1" applyAlignment="1" applyProtection="0">
      <alignment horizontal="center" vertical="bottom"/>
    </xf>
    <xf numFmtId="0" fontId="7" fillId="4" borderId="1" applyNumberFormat="0" applyFont="1" applyFill="1" applyBorder="1" applyAlignment="1" applyProtection="0">
      <alignment vertical="bottom"/>
    </xf>
    <xf numFmtId="0" fontId="7" fillId="4" borderId="1" applyNumberFormat="0" applyFont="1" applyFill="1" applyBorder="1" applyAlignment="1" applyProtection="0">
      <alignment horizontal="center" vertical="bottom"/>
    </xf>
    <xf numFmtId="0" fontId="7" fillId="4" borderId="9" applyNumberFormat="1" applyFont="1" applyFill="1" applyBorder="1" applyAlignment="1" applyProtection="0">
      <alignment horizontal="center" vertical="bottom"/>
    </xf>
    <xf numFmtId="0" fontId="7" fillId="4" borderId="9" applyNumberFormat="0" applyFont="1" applyFill="1" applyBorder="1" applyAlignment="1" applyProtection="0">
      <alignment horizontal="center" vertical="bottom"/>
    </xf>
    <xf numFmtId="0" fontId="7" fillId="4" borderId="9" applyNumberFormat="0" applyFont="1" applyFill="1" applyBorder="1" applyAlignment="1" applyProtection="0">
      <alignment vertical="bottom"/>
    </xf>
    <xf numFmtId="1" fontId="9" fillId="4" borderId="5" applyNumberFormat="1" applyFont="1" applyFill="1" applyBorder="1" applyAlignment="1" applyProtection="0">
      <alignment horizontal="center" vertical="bottom"/>
    </xf>
    <xf numFmtId="0" fontId="0" fillId="4" borderId="21" applyNumberFormat="0" applyFont="1" applyFill="1" applyBorder="1" applyAlignment="1" applyProtection="0">
      <alignment vertical="bottom"/>
    </xf>
    <xf numFmtId="0" fontId="0" applyNumberFormat="1" applyFont="1" applyFill="0" applyBorder="0" applyAlignment="1" applyProtection="0">
      <alignment vertical="bottom"/>
    </xf>
    <xf numFmtId="1" fontId="9" fillId="7" borderId="22" applyNumberFormat="1" applyFont="1" applyFill="1" applyBorder="1" applyAlignment="1" applyProtection="0">
      <alignment horizontal="center" vertical="center" wrapText="1"/>
    </xf>
    <xf numFmtId="0" fontId="9" fillId="7" borderId="3" applyNumberFormat="0" applyFont="1" applyFill="1" applyBorder="1" applyAlignment="1" applyProtection="0">
      <alignment horizontal="center" vertical="center" wrapText="1"/>
    </xf>
    <xf numFmtId="0" fontId="0" fillId="4" borderId="23" applyNumberFormat="0" applyFont="1" applyFill="1" applyBorder="1" applyAlignment="1" applyProtection="0">
      <alignment vertical="bottom"/>
    </xf>
    <xf numFmtId="49" fontId="9" fillId="7" borderId="12" applyNumberFormat="1" applyFont="1" applyFill="1" applyBorder="1" applyAlignment="1" applyProtection="0">
      <alignment horizontal="center" vertical="center" wrapText="1"/>
    </xf>
    <xf numFmtId="0" fontId="9" fillId="7" borderId="24" applyNumberFormat="0" applyFont="1" applyFill="1" applyBorder="1" applyAlignment="1" applyProtection="0">
      <alignment horizontal="center" vertical="center" wrapText="1"/>
    </xf>
    <xf numFmtId="0" fontId="0" fillId="4" borderId="8" applyNumberFormat="0" applyFont="1" applyFill="1" applyBorder="1" applyAlignment="1" applyProtection="0">
      <alignment vertical="bottom"/>
    </xf>
    <xf numFmtId="49" fontId="10" fillId="8" borderId="5" applyNumberFormat="1" applyFont="1" applyFill="1" applyBorder="1" applyAlignment="1" applyProtection="0">
      <alignment horizontal="center" vertical="center" wrapText="1"/>
    </xf>
    <xf numFmtId="0" fontId="11" fillId="4" borderId="6" applyNumberFormat="0" applyFont="1" applyFill="1" applyBorder="1" applyAlignment="1" applyProtection="0">
      <alignment vertical="bottom"/>
    </xf>
    <xf numFmtId="0" fontId="11" fillId="4" borderId="1" applyNumberFormat="0" applyFont="1" applyFill="1" applyBorder="1" applyAlignment="1" applyProtection="0">
      <alignment vertical="bottom"/>
    </xf>
    <xf numFmtId="0" fontId="12" fillId="4" borderId="9" applyNumberFormat="0" applyFont="1" applyFill="1" applyBorder="1" applyAlignment="1" applyProtection="0">
      <alignment horizontal="center" vertical="center" wrapText="1"/>
    </xf>
    <xf numFmtId="0" fontId="10" fillId="8" borderId="5" applyNumberFormat="0" applyFont="1" applyFill="1" applyBorder="1" applyAlignment="1" applyProtection="0">
      <alignment horizontal="center" vertical="center" wrapText="1"/>
    </xf>
    <xf numFmtId="0" fontId="10" fillId="8" borderId="25" applyNumberFormat="0" applyFont="1" applyFill="1" applyBorder="1" applyAlignment="1" applyProtection="0">
      <alignment horizontal="center" vertical="center" wrapText="1"/>
    </xf>
    <xf numFmtId="0" fontId="11" fillId="4" borderId="26" applyNumberFormat="0" applyFont="1" applyFill="1" applyBorder="1" applyAlignment="1" applyProtection="0">
      <alignment vertical="bottom"/>
    </xf>
    <xf numFmtId="0" fontId="0" fillId="4" borderId="9" applyNumberFormat="0" applyFont="1" applyFill="1" applyBorder="1" applyAlignment="1" applyProtection="0">
      <alignment vertical="bottom"/>
    </xf>
    <xf numFmtId="49" fontId="11" fillId="6" borderId="27" applyNumberFormat="1" applyFont="1" applyFill="1" applyBorder="1" applyAlignment="1" applyProtection="0">
      <alignment horizontal="center" vertical="bottom"/>
    </xf>
    <xf numFmtId="0" fontId="11" fillId="6" borderId="27" applyNumberFormat="1" applyFont="1" applyFill="1" applyBorder="1" applyAlignment="1" applyProtection="0">
      <alignment horizontal="center" vertical="bottom"/>
    </xf>
    <xf numFmtId="0" fontId="11" fillId="6" borderId="28" applyNumberFormat="1" applyFont="1" applyFill="1" applyBorder="1" applyAlignment="1" applyProtection="0">
      <alignment horizontal="center" vertical="bottom"/>
    </xf>
    <xf numFmtId="0" fontId="11" fillId="4" borderId="29" applyNumberFormat="0" applyFont="1" applyFill="1" applyBorder="1" applyAlignment="1" applyProtection="0">
      <alignment vertical="bottom"/>
    </xf>
    <xf numFmtId="0" fontId="10" fillId="9" borderId="5" applyNumberFormat="1" applyFont="1" applyFill="1" applyBorder="1" applyAlignment="1" applyProtection="0">
      <alignment horizontal="center" vertical="center"/>
    </xf>
    <xf numFmtId="49" fontId="10" fillId="9" borderId="5" applyNumberFormat="1" applyFont="1" applyFill="1" applyBorder="1" applyAlignment="1" applyProtection="0">
      <alignment horizontal="center" vertical="center"/>
    </xf>
    <xf numFmtId="0" fontId="8" fillId="4" borderId="9" applyNumberFormat="0" applyFont="1" applyFill="1" applyBorder="1" applyAlignment="1" applyProtection="0">
      <alignment vertical="bottom"/>
    </xf>
    <xf numFmtId="49" fontId="11" fillId="4" borderId="5" applyNumberFormat="1" applyFont="1" applyFill="1" applyBorder="1" applyAlignment="1" applyProtection="0">
      <alignment horizontal="center" vertical="bottom"/>
    </xf>
    <xf numFmtId="0" fontId="11" fillId="4" borderId="5" applyNumberFormat="1" applyFont="1" applyFill="1" applyBorder="1" applyAlignment="1" applyProtection="0">
      <alignment horizontal="center" vertical="bottom"/>
    </xf>
    <xf numFmtId="0" fontId="11" fillId="4" borderId="30" applyNumberFormat="1" applyFont="1" applyFill="1" applyBorder="1" applyAlignment="1" applyProtection="0">
      <alignment horizontal="center" vertical="bottom"/>
    </xf>
    <xf numFmtId="0" fontId="10" fillId="10" borderId="5" applyNumberFormat="1" applyFont="1" applyFill="1" applyBorder="1" applyAlignment="1" applyProtection="0">
      <alignment horizontal="center" vertical="center"/>
    </xf>
    <xf numFmtId="49" fontId="10" fillId="10" borderId="5" applyNumberFormat="1" applyFont="1" applyFill="1" applyBorder="1" applyAlignment="1" applyProtection="0">
      <alignment horizontal="center" vertical="center"/>
    </xf>
    <xf numFmtId="49" fontId="11" fillId="6" borderId="5" applyNumberFormat="1" applyFont="1" applyFill="1" applyBorder="1" applyAlignment="1" applyProtection="0">
      <alignment horizontal="center" vertical="bottom"/>
    </xf>
    <xf numFmtId="0" fontId="11" fillId="6" borderId="5" applyNumberFormat="1" applyFont="1" applyFill="1" applyBorder="1" applyAlignment="1" applyProtection="0">
      <alignment horizontal="center" vertical="bottom"/>
    </xf>
    <xf numFmtId="0" fontId="11" fillId="6" borderId="30" applyNumberFormat="1" applyFont="1" applyFill="1" applyBorder="1" applyAlignment="1" applyProtection="0">
      <alignment horizontal="center" vertical="bottom"/>
    </xf>
    <xf numFmtId="0" fontId="13" fillId="4" borderId="5" applyNumberFormat="1" applyFont="1" applyFill="1" applyBorder="1" applyAlignment="1" applyProtection="0">
      <alignment horizontal="center" vertical="center"/>
    </xf>
    <xf numFmtId="49" fontId="13" fillId="4" borderId="5" applyNumberFormat="1" applyFont="1" applyFill="1" applyBorder="1" applyAlignment="1" applyProtection="0">
      <alignment horizontal="center" vertical="center"/>
    </xf>
    <xf numFmtId="0" fontId="14" fillId="11" borderId="5" applyNumberFormat="1" applyFont="1" applyFill="1" applyBorder="1" applyAlignment="1" applyProtection="0">
      <alignment horizontal="center" vertical="center"/>
    </xf>
    <xf numFmtId="49" fontId="14" fillId="11" borderId="5" applyNumberFormat="1" applyFont="1" applyFill="1" applyBorder="1" applyAlignment="1" applyProtection="0">
      <alignment horizontal="center" vertical="center"/>
    </xf>
    <xf numFmtId="49" fontId="11" fillId="4" borderId="25" applyNumberFormat="1" applyFont="1" applyFill="1" applyBorder="1" applyAlignment="1" applyProtection="0">
      <alignment horizontal="center" vertical="bottom"/>
    </xf>
    <xf numFmtId="0" fontId="11" fillId="4" borderId="25" applyNumberFormat="1" applyFont="1" applyFill="1" applyBorder="1" applyAlignment="1" applyProtection="0">
      <alignment horizontal="center" vertical="bottom"/>
    </xf>
    <xf numFmtId="0" fontId="11" fillId="4" borderId="31" applyNumberFormat="1" applyFont="1" applyFill="1" applyBorder="1" applyAlignment="1" applyProtection="0">
      <alignment horizontal="center" vertical="bottom"/>
    </xf>
    <xf numFmtId="0" fontId="15" fillId="4" borderId="32" applyNumberFormat="0" applyFont="1" applyFill="1" applyBorder="1" applyAlignment="1" applyProtection="0">
      <alignment horizontal="center" vertical="bottom"/>
    </xf>
    <xf numFmtId="49" fontId="0" fillId="4" borderId="1" applyNumberFormat="1" applyFont="1" applyFill="1" applyBorder="1" applyAlignment="1" applyProtection="0">
      <alignment vertical="bottom"/>
    </xf>
    <xf numFmtId="59" fontId="0" fillId="4" borderId="1" applyNumberFormat="1" applyFont="1" applyFill="1" applyBorder="1" applyAlignment="1" applyProtection="0">
      <alignment vertical="bottom"/>
    </xf>
    <xf numFmtId="0" fontId="7" fillId="4" borderId="1" applyNumberFormat="0" applyFont="1" applyFill="1" applyBorder="1" applyAlignment="1" applyProtection="0">
      <alignment horizontal="left" vertical="bottom"/>
    </xf>
    <xf numFmtId="0" fontId="0" fillId="4" borderId="1" applyNumberFormat="1" applyFont="1" applyFill="1" applyBorder="1" applyAlignment="1" applyProtection="0">
      <alignment vertical="bottom"/>
    </xf>
    <xf numFmtId="0" fontId="0" applyNumberFormat="1" applyFont="1" applyFill="0" applyBorder="0" applyAlignment="1" applyProtection="0">
      <alignment vertical="bottom"/>
    </xf>
    <xf numFmtId="49" fontId="0" borderId="1" applyNumberFormat="1" applyFont="1" applyFill="0" applyBorder="1" applyAlignment="1" applyProtection="0">
      <alignment vertical="bottom"/>
    </xf>
    <xf numFmtId="0" fontId="0" borderId="1" applyNumberFormat="0" applyFont="1" applyFill="0" applyBorder="1" applyAlignment="1" applyProtection="0">
      <alignment vertical="bottom"/>
    </xf>
    <xf numFmtId="0" fontId="0" applyNumberFormat="1" applyFont="1" applyFill="0" applyBorder="0" applyAlignment="1" applyProtection="0">
      <alignment vertical="bottom"/>
    </xf>
    <xf numFmtId="49" fontId="9" fillId="7" borderId="22" applyNumberFormat="1" applyFont="1" applyFill="1" applyBorder="1" applyAlignment="1" applyProtection="0">
      <alignment horizontal="center" vertical="center" wrapText="1"/>
    </xf>
    <xf numFmtId="0" fontId="9" fillId="7" borderId="13" applyNumberFormat="0" applyFont="1" applyFill="1" applyBorder="1" applyAlignment="1" applyProtection="0">
      <alignment horizontal="center" vertical="center" wrapText="1"/>
    </xf>
    <xf numFmtId="49" fontId="16" fillId="4" borderId="7" applyNumberFormat="1" applyFont="1" applyFill="1" applyBorder="1" applyAlignment="1" applyProtection="0">
      <alignment horizontal="left" vertical="center" wrapText="1"/>
    </xf>
    <xf numFmtId="0" fontId="16" fillId="4" borderId="7" applyNumberFormat="0" applyFont="1" applyFill="1" applyBorder="1" applyAlignment="1" applyProtection="0">
      <alignment horizontal="left" vertical="center" wrapText="1"/>
    </xf>
    <xf numFmtId="49" fontId="16" fillId="4" borderId="1" applyNumberFormat="1" applyFont="1" applyFill="1" applyBorder="1" applyAlignment="1" applyProtection="0">
      <alignment horizontal="left" vertical="center" wrapText="1"/>
    </xf>
    <xf numFmtId="0" fontId="16" fillId="4" borderId="1" applyNumberFormat="0" applyFont="1" applyFill="1" applyBorder="1" applyAlignment="1" applyProtection="0">
      <alignment horizontal="left" vertical="center"/>
    </xf>
    <xf numFmtId="0" fontId="16" fillId="4" borderId="10" applyNumberFormat="0" applyFont="1" applyFill="1" applyBorder="1" applyAlignment="1" applyProtection="0">
      <alignment horizontal="left" vertical="center" wrapText="1"/>
    </xf>
    <xf numFmtId="0" fontId="0" fillId="4" borderId="10" applyNumberFormat="0" applyFont="1" applyFill="1" applyBorder="1" applyAlignment="1" applyProtection="0">
      <alignment vertical="bottom"/>
    </xf>
    <xf numFmtId="0" fontId="16" fillId="4" borderId="10" applyNumberFormat="0" applyFont="1" applyFill="1" applyBorder="1" applyAlignment="1" applyProtection="0">
      <alignment horizontal="left" vertical="center"/>
    </xf>
    <xf numFmtId="49" fontId="12" fillId="8" borderId="33" applyNumberFormat="1" applyFont="1" applyFill="1" applyBorder="1" applyAlignment="1" applyProtection="0">
      <alignment vertical="bottom"/>
    </xf>
    <xf numFmtId="49" fontId="12" fillId="8" borderId="13" applyNumberFormat="1" applyFont="1" applyFill="1" applyBorder="1" applyAlignment="1" applyProtection="0">
      <alignment vertical="bottom"/>
    </xf>
    <xf numFmtId="49" fontId="15" fillId="4" borderId="5" applyNumberFormat="1" applyFont="1" applyFill="1" applyBorder="1" applyAlignment="1" applyProtection="0">
      <alignment horizontal="center" vertical="center" wrapText="1"/>
    </xf>
    <xf numFmtId="0" fontId="0" fillId="4" borderId="34" applyNumberFormat="0" applyFont="1" applyFill="1" applyBorder="1" applyAlignment="1" applyProtection="0">
      <alignment vertical="bottom"/>
    </xf>
    <xf numFmtId="0" fontId="0" applyNumberFormat="1" applyFont="1" applyFill="0" applyBorder="0" applyAlignment="1" applyProtection="0">
      <alignment vertical="bottom"/>
    </xf>
    <xf numFmtId="49" fontId="17" fillId="12" borderId="22" applyNumberFormat="1" applyFont="1" applyFill="1" applyBorder="1" applyAlignment="1" applyProtection="0">
      <alignment horizontal="center" vertical="center"/>
    </xf>
    <xf numFmtId="49" fontId="0" fillId="4" borderId="35" applyNumberFormat="1" applyFont="1" applyFill="1" applyBorder="1" applyAlignment="1" applyProtection="0">
      <alignment vertical="center"/>
    </xf>
    <xf numFmtId="49" fontId="11" fillId="4" borderId="36" applyNumberFormat="1" applyFont="1" applyFill="1" applyBorder="1" applyAlignment="1" applyProtection="0">
      <alignment horizontal="center" vertical="center"/>
    </xf>
    <xf numFmtId="49" fontId="17" fillId="13" borderId="3" applyNumberFormat="1" applyFont="1" applyFill="1" applyBorder="1" applyAlignment="1" applyProtection="0">
      <alignment horizontal="center" vertical="center"/>
    </xf>
    <xf numFmtId="49" fontId="17" fillId="14" borderId="3" applyNumberFormat="1" applyFont="1" applyFill="1" applyBorder="1" applyAlignment="1" applyProtection="0">
      <alignment horizontal="center" vertical="center"/>
    </xf>
    <xf numFmtId="49" fontId="17" fillId="14" borderId="3" applyNumberFormat="1" applyFont="1" applyFill="1" applyBorder="1" applyAlignment="1" applyProtection="0">
      <alignment horizontal="center" vertical="center" wrapText="1"/>
    </xf>
    <xf numFmtId="49" fontId="17" fillId="12" borderId="3" applyNumberFormat="1" applyFont="1" applyFill="1" applyBorder="1" applyAlignment="1" applyProtection="0">
      <alignment horizontal="center" vertical="center"/>
    </xf>
    <xf numFmtId="0" fontId="18" fillId="12" borderId="3" applyNumberFormat="0" applyFont="1" applyFill="1" applyBorder="1" applyAlignment="1" applyProtection="0">
      <alignment horizontal="center" vertical="center" wrapText="1"/>
    </xf>
    <xf numFmtId="0" fontId="0" borderId="23" applyNumberFormat="0" applyFont="1" applyFill="0" applyBorder="1" applyAlignment="1" applyProtection="0">
      <alignment vertical="bottom"/>
    </xf>
    <xf numFmtId="0" fontId="11" fillId="4" borderId="8" applyNumberFormat="1" applyFont="1" applyFill="1" applyBorder="1" applyAlignment="1" applyProtection="0">
      <alignment horizontal="center" vertical="center"/>
    </xf>
    <xf numFmtId="49" fontId="14" fillId="4" borderId="5" applyNumberFormat="1" applyFont="1" applyFill="1" applyBorder="1" applyAlignment="1" applyProtection="0">
      <alignment horizontal="center" vertical="center" wrapText="1"/>
    </xf>
    <xf numFmtId="49" fontId="11" fillId="4" borderId="5" applyNumberFormat="1" applyFont="1" applyFill="1" applyBorder="1" applyAlignment="1" applyProtection="0">
      <alignment horizontal="left" vertical="center" wrapText="1"/>
    </xf>
    <xf numFmtId="0" fontId="0" fillId="4" borderId="34" applyNumberFormat="0" applyFont="1" applyFill="1" applyBorder="1" applyAlignment="1" applyProtection="0">
      <alignment vertical="center" wrapText="1"/>
    </xf>
    <xf numFmtId="0" fontId="0" fillId="4" borderId="7" applyNumberFormat="0" applyFont="1" applyFill="1" applyBorder="1" applyAlignment="1" applyProtection="0">
      <alignment vertical="center"/>
    </xf>
    <xf numFmtId="0" fontId="0" fillId="4" borderId="7" applyNumberFormat="0" applyFont="1" applyFill="1" applyBorder="1" applyAlignment="1" applyProtection="0">
      <alignment vertical="center" wrapText="1"/>
    </xf>
    <xf numFmtId="0" fontId="0" fillId="4" borderId="7" applyNumberFormat="1" applyFont="1" applyFill="1" applyBorder="1" applyAlignment="1" applyProtection="0">
      <alignment vertical="center"/>
    </xf>
    <xf numFmtId="0" fontId="11" fillId="4" borderId="9" applyNumberFormat="1" applyFont="1" applyFill="1" applyBorder="1" applyAlignment="1" applyProtection="0">
      <alignment horizontal="center" vertical="center"/>
    </xf>
    <xf numFmtId="0" fontId="0" fillId="4" borderId="6" applyNumberFormat="0" applyFont="1" applyFill="1" applyBorder="1" applyAlignment="1" applyProtection="0">
      <alignment vertical="center" wrapText="1"/>
    </xf>
    <xf numFmtId="0" fontId="0" fillId="4" borderId="1" applyNumberFormat="0" applyFont="1" applyFill="1" applyBorder="1" applyAlignment="1" applyProtection="0">
      <alignment vertical="center"/>
    </xf>
    <xf numFmtId="0" fontId="0" fillId="4" borderId="1" applyNumberFormat="0" applyFont="1" applyFill="1" applyBorder="1" applyAlignment="1" applyProtection="0">
      <alignment vertical="center" wrapText="1"/>
    </xf>
    <xf numFmtId="0" fontId="0" fillId="4" borderId="1" applyNumberFormat="1" applyFont="1" applyFill="1" applyBorder="1" applyAlignment="1" applyProtection="0">
      <alignment vertical="center"/>
    </xf>
    <xf numFmtId="0" fontId="0" fillId="4" borderId="6" applyNumberFormat="1" applyFont="1" applyFill="1" applyBorder="1" applyAlignment="1" applyProtection="0">
      <alignment vertical="center" wrapText="1"/>
    </xf>
    <xf numFmtId="49" fontId="11" fillId="4" borderId="37" applyNumberFormat="1" applyFont="1" applyFill="1" applyBorder="1" applyAlignment="1" applyProtection="0">
      <alignment horizontal="left" vertical="center" wrapText="1"/>
    </xf>
    <xf numFmtId="0" fontId="14" fillId="4" borderId="5" applyNumberFormat="1" applyFont="1" applyFill="1" applyBorder="1" applyAlignment="1" applyProtection="0">
      <alignment horizontal="center" vertical="center" wrapText="1"/>
    </xf>
    <xf numFmtId="49" fontId="0" fillId="4" borderId="38" applyNumberFormat="1" applyFont="1" applyFill="1" applyBorder="1" applyAlignment="1" applyProtection="0">
      <alignment vertical="center" wrapText="1"/>
    </xf>
    <xf numFmtId="49" fontId="0" fillId="4" borderId="6" applyNumberFormat="1" applyFont="1" applyFill="1" applyBorder="1" applyAlignment="1" applyProtection="0">
      <alignment vertical="center" wrapText="1"/>
    </xf>
    <xf numFmtId="0" fontId="0" fillId="4" borderId="1" applyNumberFormat="1" applyFont="1" applyFill="1" applyBorder="1" applyAlignment="1" applyProtection="0">
      <alignment vertical="center" wrapText="1"/>
    </xf>
    <xf numFmtId="49" fontId="11" fillId="4" borderId="6" applyNumberFormat="1" applyFont="1" applyFill="1" applyBorder="1" applyAlignment="1" applyProtection="0">
      <alignment vertical="center" wrapText="1"/>
    </xf>
    <xf numFmtId="0" fontId="0" fillId="4" borderId="1" applyNumberFormat="0" applyFont="1" applyFill="1" applyBorder="1" applyAlignment="1" applyProtection="0">
      <alignment horizontal="center" vertical="center" wrapText="1"/>
    </xf>
    <xf numFmtId="0" fontId="0" fillId="4" borderId="1" applyNumberFormat="0" applyFont="1" applyFill="1" applyBorder="1" applyAlignment="1" applyProtection="0">
      <alignment horizontal="center" vertical="center"/>
    </xf>
    <xf numFmtId="0" fontId="17" fillId="4" borderId="1" applyNumberFormat="0" applyFont="1" applyFill="1" applyBorder="1" applyAlignment="1" applyProtection="0">
      <alignment vertical="center" wrapText="1"/>
    </xf>
    <xf numFmtId="0" fontId="0" fillId="4" borderId="1" applyNumberFormat="1" applyFont="1" applyFill="1" applyBorder="1" applyAlignment="1" applyProtection="0">
      <alignment horizontal="center" vertical="center"/>
    </xf>
    <xf numFmtId="0" fontId="0" fillId="4" borderId="1" applyNumberFormat="0" applyFont="1" applyFill="1" applyBorder="1" applyAlignment="1" applyProtection="0">
      <alignment horizontal="left" vertical="center" wrapText="1"/>
    </xf>
    <xf numFmtId="49" fontId="0" fillId="4" borderId="39" applyNumberFormat="1" applyFont="1" applyFill="1" applyBorder="1" applyAlignment="1" applyProtection="0">
      <alignment vertical="center" wrapText="1"/>
    </xf>
    <xf numFmtId="0" fontId="0" fillId="4" borderId="6" applyNumberFormat="0" applyFont="1" applyFill="1" applyBorder="1" applyAlignment="1" applyProtection="0">
      <alignment vertical="center"/>
    </xf>
    <xf numFmtId="49" fontId="0" fillId="4" borderId="40" applyNumberFormat="1" applyFont="1" applyFill="1" applyBorder="1" applyAlignment="1" applyProtection="0">
      <alignment vertical="center" wrapText="1"/>
    </xf>
    <xf numFmtId="0" fontId="0" applyNumberFormat="1" applyFont="1" applyFill="0" applyBorder="0" applyAlignment="1" applyProtection="0">
      <alignment vertical="bottom"/>
    </xf>
    <xf numFmtId="49" fontId="17" fillId="12" borderId="3" applyNumberFormat="1" applyFont="1" applyFill="1" applyBorder="1" applyAlignment="1" applyProtection="0">
      <alignment horizontal="center" vertical="center" wrapText="1"/>
    </xf>
    <xf numFmtId="49" fontId="18" fillId="12" borderId="3" applyNumberFormat="1" applyFont="1" applyFill="1" applyBorder="1" applyAlignment="1" applyProtection="0">
      <alignment horizontal="center" vertical="center" wrapText="1"/>
    </xf>
    <xf numFmtId="0" fontId="17" fillId="12" borderId="3" applyNumberFormat="0" applyFont="1" applyFill="1" applyBorder="1" applyAlignment="1" applyProtection="0">
      <alignment horizontal="center" vertical="center" wrapText="1"/>
    </xf>
    <xf numFmtId="0" fontId="0" fillId="4" borderId="7" applyNumberFormat="0" applyFont="1" applyFill="1" applyBorder="1" applyAlignment="1" applyProtection="0">
      <alignment vertical="bottom" wrapText="1"/>
    </xf>
    <xf numFmtId="0" fontId="0" fillId="4" borderId="1" applyNumberFormat="0" applyFont="1" applyFill="1" applyBorder="1" applyAlignment="1" applyProtection="0">
      <alignment vertical="bottom" wrapText="1"/>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0" fillId="4" borderId="41" applyNumberFormat="1" applyFont="1" applyFill="1" applyBorder="1" applyAlignment="1" applyProtection="0">
      <alignment vertical="center"/>
    </xf>
    <xf numFmtId="49" fontId="0" fillId="4" borderId="42" applyNumberFormat="1" applyFont="1" applyFill="1" applyBorder="1" applyAlignment="1" applyProtection="0">
      <alignment vertical="center"/>
    </xf>
    <xf numFmtId="49" fontId="0" fillId="15" borderId="43" applyNumberFormat="1" applyFont="1" applyFill="1" applyBorder="1" applyAlignment="1" applyProtection="0">
      <alignment vertical="center" wrapText="1"/>
    </xf>
    <xf numFmtId="49" fontId="0" fillId="16" borderId="44" applyNumberFormat="1" applyFont="1" applyFill="1" applyBorder="1" applyAlignment="1" applyProtection="0">
      <alignment vertical="bottom"/>
    </xf>
    <xf numFmtId="0" fontId="0" borderId="45" applyNumberFormat="0" applyFont="1" applyFill="0" applyBorder="1" applyAlignment="1" applyProtection="0">
      <alignment horizontal="center" vertical="bottom"/>
    </xf>
    <xf numFmtId="49" fontId="14" fillId="4" borderId="46" applyNumberFormat="1" applyFont="1" applyFill="1" applyBorder="1" applyAlignment="1" applyProtection="0">
      <alignment horizontal="center" vertical="center" wrapText="1"/>
    </xf>
    <xf numFmtId="0" fontId="0" fillId="4" borderId="47" applyNumberFormat="1" applyFont="1" applyFill="1" applyBorder="1" applyAlignment="1" applyProtection="0">
      <alignment vertical="bottom"/>
    </xf>
    <xf numFmtId="0" fontId="0" fillId="4" borderId="48" applyNumberFormat="1" applyFont="1" applyFill="1" applyBorder="1" applyAlignment="1" applyProtection="0">
      <alignment vertical="bottom" wrapText="1"/>
    </xf>
    <xf numFmtId="0" fontId="0" borderId="48" applyNumberFormat="0" applyFont="1" applyFill="0" applyBorder="1" applyAlignment="1" applyProtection="0">
      <alignment vertical="bottom"/>
    </xf>
    <xf numFmtId="0" fontId="0" borderId="9" applyNumberFormat="0" applyFont="1" applyFill="0" applyBorder="1" applyAlignment="1" applyProtection="0">
      <alignment horizontal="center" vertical="bottom"/>
    </xf>
    <xf numFmtId="0" fontId="0" fillId="4" borderId="6" applyNumberFormat="1" applyFont="1" applyFill="1" applyBorder="1" applyAlignment="1" applyProtection="0">
      <alignment vertical="bottom"/>
    </xf>
    <xf numFmtId="0" fontId="0" fillId="4" borderId="1" applyNumberFormat="1" applyFont="1" applyFill="1" applyBorder="1" applyAlignment="1" applyProtection="0">
      <alignment vertical="bottom" wrapText="1"/>
    </xf>
    <xf numFmtId="0" fontId="0" fillId="4" borderId="9" applyNumberFormat="0" applyFont="1" applyFill="1" applyBorder="1" applyAlignment="1" applyProtection="0">
      <alignment horizontal="center" vertical="center"/>
    </xf>
    <xf numFmtId="0" fontId="0" borderId="1" applyNumberFormat="0" applyFont="1" applyFill="0" applyBorder="1" applyAlignment="1" applyProtection="0">
      <alignment horizontal="center" vertical="bottom"/>
    </xf>
    <xf numFmtId="0" fontId="0" fillId="4" borderId="21" applyNumberFormat="0" applyFont="1" applyFill="1" applyBorder="1" applyAlignment="1" applyProtection="0">
      <alignment horizontal="center" vertical="bottom"/>
    </xf>
    <xf numFmtId="0" fontId="0" fillId="4" borderId="1" applyNumberFormat="0" applyFont="1" applyFill="1" applyBorder="1" applyAlignment="1" applyProtection="0">
      <alignment horizontal="center" vertical="bottom"/>
    </xf>
  </cellXfs>
  <cellStyles count="1">
    <cellStyle name="Normal" xfId="0" builtinId="0"/>
  </cellStyles>
  <dxfs count="14">
    <dxf>
      <font>
        <color rgb="ff9c5700"/>
      </font>
      <fill>
        <patternFill patternType="solid">
          <fgColor indexed="23"/>
          <bgColor indexed="24"/>
        </patternFill>
      </fill>
    </dxf>
    <dxf>
      <fill>
        <patternFill patternType="solid">
          <fgColor indexed="23"/>
          <bgColor indexed="27"/>
        </patternFill>
      </fill>
    </dxf>
    <dxf>
      <font>
        <color rgb="ff9c0006"/>
      </font>
      <fill>
        <patternFill patternType="solid">
          <fgColor indexed="23"/>
          <bgColor indexed="28"/>
        </patternFill>
      </fill>
    </dxf>
    <dxf>
      <fill>
        <patternFill patternType="solid">
          <fgColor indexed="23"/>
          <bgColor indexed="30"/>
        </patternFill>
      </fill>
    </dxf>
    <dxf>
      <fill>
        <patternFill patternType="solid">
          <fgColor indexed="23"/>
          <bgColor indexed="27"/>
        </patternFill>
      </fill>
    </dxf>
    <dxf>
      <font>
        <color rgb="ff9c5700"/>
      </font>
      <fill>
        <patternFill patternType="solid">
          <fgColor indexed="23"/>
          <bgColor indexed="24"/>
        </patternFill>
      </fill>
    </dxf>
    <dxf>
      <font>
        <color rgb="ff9c5700"/>
      </font>
      <fill>
        <patternFill patternType="solid">
          <fgColor indexed="23"/>
          <bgColor indexed="24"/>
        </patternFill>
      </fill>
    </dxf>
    <dxf>
      <fill>
        <patternFill patternType="solid">
          <fgColor indexed="23"/>
          <bgColor indexed="27"/>
        </patternFill>
      </fill>
    </dxf>
    <dxf>
      <font>
        <color rgb="ff9c0006"/>
      </font>
      <fill>
        <patternFill patternType="solid">
          <fgColor indexed="23"/>
          <bgColor indexed="28"/>
        </patternFill>
      </fill>
    </dxf>
    <dxf>
      <fill>
        <patternFill patternType="solid">
          <fgColor indexed="23"/>
          <bgColor indexed="30"/>
        </patternFill>
      </fill>
    </dxf>
    <dxf>
      <font>
        <color rgb="ff9c5700"/>
      </font>
      <fill>
        <patternFill patternType="solid">
          <fgColor indexed="23"/>
          <bgColor indexed="24"/>
        </patternFill>
      </fill>
    </dxf>
    <dxf>
      <fill>
        <patternFill patternType="solid">
          <fgColor indexed="23"/>
          <bgColor indexed="27"/>
        </patternFill>
      </fill>
    </dxf>
    <dxf>
      <font>
        <color rgb="ff9c0006"/>
      </font>
      <fill>
        <patternFill patternType="solid">
          <fgColor indexed="23"/>
          <bgColor indexed="28"/>
        </patternFill>
      </fill>
    </dxf>
    <dxf>
      <fill>
        <patternFill patternType="solid">
          <fgColor indexed="23"/>
          <bgColor indexed="30"/>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eeeeee"/>
      <rgbColor rgb="ffc81a71"/>
      <rgbColor rgb="ff2d77d0"/>
      <rgbColor rgb="ff07838b"/>
      <rgbColor rgb="ffde1b3e"/>
      <rgbColor rgb="ff808080"/>
      <rgbColor rgb="fffff58c"/>
      <rgbColor rgb="ffd9e2f3"/>
      <rgbColor rgb="ffb4c6e7"/>
      <rgbColor rgb="00000000"/>
      <rgbColor rgb="ffffeb9c"/>
      <rgbColor rgb="ff9c5700"/>
      <rgbColor rgb="fff2f2f2"/>
      <rgbColor rgb="ffcfcfcf"/>
      <rgbColor rgb="ffffc7ce"/>
      <rgbColor rgb="ff9c0006"/>
      <rgbColor rgb="ffd0cece"/>
      <rgbColor rgb="ff9cc2e5"/>
      <rgbColor rgb="fff7caac"/>
      <rgbColor rgb="ffe2eed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6.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7.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8.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28"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21</v>
      </c>
      <c r="C11" s="3"/>
      <c r="D11" s="3"/>
    </row>
    <row r="12">
      <c r="B12" s="4"/>
      <c r="C12" t="s" s="4">
        <v>5</v>
      </c>
      <c r="D12" t="s" s="5">
        <v>21</v>
      </c>
    </row>
    <row r="13">
      <c r="B13" t="s" s="3">
        <v>40</v>
      </c>
      <c r="C13" s="3"/>
      <c r="D13" s="3"/>
    </row>
    <row r="14">
      <c r="B14" s="4"/>
      <c r="C14" t="s" s="4">
        <v>5</v>
      </c>
      <c r="D14" t="s" s="5">
        <v>40</v>
      </c>
    </row>
    <row r="15">
      <c r="B15" t="s" s="3">
        <v>49</v>
      </c>
      <c r="C15" s="3"/>
      <c r="D15" s="3"/>
    </row>
    <row r="16">
      <c r="B16" s="4"/>
      <c r="C16" t="s" s="4">
        <v>5</v>
      </c>
      <c r="D16" t="s" s="5">
        <v>49</v>
      </c>
    </row>
    <row r="17">
      <c r="B17" t="s" s="3">
        <v>7</v>
      </c>
      <c r="C17" s="3"/>
      <c r="D17" s="3"/>
    </row>
    <row r="18">
      <c r="B18" s="4"/>
      <c r="C18" t="s" s="4">
        <v>5</v>
      </c>
      <c r="D18" t="s" s="5">
        <v>7</v>
      </c>
    </row>
    <row r="19">
      <c r="B19" t="s" s="3">
        <v>8</v>
      </c>
      <c r="C19" s="3"/>
      <c r="D19" s="3"/>
    </row>
    <row r="20">
      <c r="B20" s="4"/>
      <c r="C20" t="s" s="4">
        <v>5</v>
      </c>
      <c r="D20" t="s" s="5">
        <v>8</v>
      </c>
    </row>
    <row r="21">
      <c r="B21" t="s" s="3">
        <v>9</v>
      </c>
      <c r="C21" s="3"/>
      <c r="D21" s="3"/>
    </row>
    <row r="22">
      <c r="B22" s="4"/>
      <c r="C22" t="s" s="4">
        <v>5</v>
      </c>
      <c r="D22" t="s" s="5">
        <v>9</v>
      </c>
    </row>
    <row r="23">
      <c r="B23" t="s" s="3">
        <v>11</v>
      </c>
      <c r="C23" s="3"/>
      <c r="D23" s="3"/>
    </row>
    <row r="24">
      <c r="B24" s="4"/>
      <c r="C24" t="s" s="4">
        <v>5</v>
      </c>
      <c r="D24" t="s" s="5">
        <v>11</v>
      </c>
    </row>
  </sheetData>
  <mergeCells count="1">
    <mergeCell ref="B3:D3"/>
  </mergeCells>
  <hyperlinks>
    <hyperlink ref="D10" location="'BaseDeCalcul'!R1C1" tooltip="" display="BaseDeCalcul"/>
    <hyperlink ref="D12" location="'Synthèse'!R1C1" tooltip="" display="Synthèse"/>
    <hyperlink ref="D14" location="'Échelle'!R1C1" tooltip="" display="Échelle"/>
    <hyperlink ref="D16" location="'Échantillon'!R1C1" tooltip="" display="Échantillon"/>
    <hyperlink ref="D18" location="'P01'!R1C1" tooltip="" display="P01"/>
    <hyperlink ref="D20" location="'P02'!R1C1" tooltip="" display="P02"/>
    <hyperlink ref="D22" location="'P03'!R1C1" tooltip="" display="P03"/>
    <hyperlink ref="D24" location="'NC'!R1C1" tooltip="" display="NC"/>
  </hyperlinks>
</worksheet>
</file>

<file path=xl/worksheets/sheet2.xml><?xml version="1.0" encoding="utf-8"?>
<worksheet xmlns:r="http://schemas.openxmlformats.org/officeDocument/2006/relationships" xmlns="http://schemas.openxmlformats.org/spreadsheetml/2006/main">
  <dimension ref="A1:S75"/>
  <sheetViews>
    <sheetView workbookViewId="0" showGridLines="0" defaultGridColor="1"/>
  </sheetViews>
  <sheetFormatPr defaultColWidth="9.57143" defaultRowHeight="15.75" customHeight="1" outlineLevelRow="0" outlineLevelCol="0"/>
  <cols>
    <col min="1" max="1" width="3.28906" style="6" customWidth="1"/>
    <col min="2" max="2" width="5.28906" style="6" customWidth="1"/>
    <col min="3" max="3" width="21.8672" style="6" customWidth="1"/>
    <col min="4" max="4" width="6.73438" style="6" customWidth="1"/>
    <col min="5" max="7" width="5.57812" style="6" customWidth="1"/>
    <col min="8" max="11" width="5.15625" style="6" customWidth="1"/>
    <col min="12" max="12" width="9.57812" style="6" customWidth="1"/>
    <col min="13" max="14" width="5.28906" style="6" customWidth="1"/>
    <col min="15" max="15" width="22.8672" style="6" customWidth="1"/>
    <col min="16" max="18" width="5.57812" style="6" customWidth="1"/>
    <col min="19" max="19" width="7.28906" style="6" customWidth="1"/>
    <col min="20" max="16384" width="9.57812" style="6" customWidth="1"/>
  </cols>
  <sheetData>
    <row r="1" ht="16.6" customHeight="1">
      <c r="A1" s="7"/>
      <c r="B1" s="7"/>
      <c r="C1" s="7"/>
      <c r="D1" t="s" s="8">
        <v>6</v>
      </c>
      <c r="E1" t="s" s="9">
        <v>7</v>
      </c>
      <c r="F1" t="s" s="9">
        <v>8</v>
      </c>
      <c r="G1" t="s" s="10">
        <v>9</v>
      </c>
      <c r="H1" t="s" s="11">
        <v>10</v>
      </c>
      <c r="I1" t="s" s="11">
        <v>11</v>
      </c>
      <c r="J1" t="s" s="11">
        <v>12</v>
      </c>
      <c r="K1" t="s" s="11">
        <v>13</v>
      </c>
      <c r="L1" s="12"/>
      <c r="M1" s="7"/>
      <c r="N1" s="7"/>
      <c r="O1" s="13"/>
      <c r="P1" t="s" s="9">
        <v>7</v>
      </c>
      <c r="Q1" t="s" s="9">
        <v>8</v>
      </c>
      <c r="R1" t="s" s="10">
        <v>9</v>
      </c>
      <c r="S1" t="s" s="11">
        <v>14</v>
      </c>
    </row>
    <row r="2" ht="16.6" customHeight="1">
      <c r="A2" s="7"/>
      <c r="B2" s="7"/>
      <c r="C2" s="7"/>
      <c r="D2" s="7"/>
      <c r="E2" s="14"/>
      <c r="F2" s="15"/>
      <c r="G2" s="16"/>
      <c r="H2" s="17"/>
      <c r="I2" s="17"/>
      <c r="J2" s="17"/>
      <c r="K2" s="17"/>
      <c r="L2" s="12"/>
      <c r="M2" s="7"/>
      <c r="N2" s="7"/>
      <c r="O2" s="7"/>
      <c r="P2" s="15"/>
      <c r="Q2" s="15"/>
      <c r="R2" s="16"/>
      <c r="S2" s="17"/>
    </row>
    <row r="3" ht="15.35" customHeight="1">
      <c r="A3" s="18">
        <v>1</v>
      </c>
      <c r="B3" s="19"/>
      <c r="C3" s="19"/>
      <c r="D3" t="s" s="20">
        <v>15</v>
      </c>
      <c r="E3" s="19"/>
      <c r="F3" s="19"/>
      <c r="G3" s="21"/>
      <c r="H3" s="22" cm="1">
        <f t="array" ref="H3">COUNTIF(E3:G3,"C")</f>
        <v>0</v>
      </c>
      <c r="I3" s="22" cm="1">
        <f t="array" ref="I3">COUNTIF(E3:G3,"NC")</f>
        <v>0</v>
      </c>
      <c r="J3" s="22" cm="1">
        <f t="array" ref="J3">COUNTIF(E3:G3,"NA")</f>
        <v>0</v>
      </c>
      <c r="K3" s="22" cm="1">
        <f t="array" ref="K3">COUNTIF(E3:G3,"NT")</f>
        <v>0</v>
      </c>
      <c r="L3" t="str" s="23" cm="1">
        <f t="array" ref="L3">IF(I3&gt;0,"NC",IF(H3&gt;0,"C",IF(K3&gt;0,"NT","NA")))</f>
        <v>NA</v>
      </c>
      <c r="M3" s="18">
        <v>1</v>
      </c>
      <c r="N3" s="19"/>
      <c r="O3" s="19"/>
      <c r="P3" s="19"/>
      <c r="Q3" s="19"/>
      <c r="R3" s="21"/>
      <c r="S3" s="22" cm="1">
        <f t="array" ref="S3">COUNTIF(P3:R3,"D")</f>
        <v>0</v>
      </c>
    </row>
    <row r="4" ht="15.35" customHeight="1">
      <c r="A4" s="18">
        <v>1</v>
      </c>
      <c r="B4" s="19"/>
      <c r="C4" s="19"/>
      <c r="D4" t="s" s="20">
        <v>15</v>
      </c>
      <c r="E4" s="19"/>
      <c r="F4" s="19"/>
      <c r="G4" s="21"/>
      <c r="H4" s="22" cm="1">
        <f t="array" ref="H4">COUNTIF(E4:G4,"C")</f>
        <v>0</v>
      </c>
      <c r="I4" s="22" cm="1">
        <f t="array" ref="I4">COUNTIF(E4:G4,"NC")</f>
        <v>0</v>
      </c>
      <c r="J4" s="22" cm="1">
        <f t="array" ref="J4">COUNTIF(E4:G4,"NA")</f>
        <v>0</v>
      </c>
      <c r="K4" s="22" cm="1">
        <f t="array" ref="K4">COUNTIF(E4:G4,"NT")</f>
        <v>0</v>
      </c>
      <c r="L4" t="str" s="23" cm="1">
        <f t="array" ref="L4">IF(I4&gt;0,"NC",IF(H4&gt;0,"C",IF(K4&gt;0,"NT","NA")))</f>
        <v>NA</v>
      </c>
      <c r="M4" s="18">
        <v>1</v>
      </c>
      <c r="N4" s="19"/>
      <c r="O4" s="19"/>
      <c r="P4" s="19"/>
      <c r="Q4" s="19"/>
      <c r="R4" s="21"/>
      <c r="S4" s="22" cm="1">
        <f t="array" ref="S4">COUNTIF(P4:R4,"D")</f>
        <v>0</v>
      </c>
    </row>
    <row r="5" ht="15.35" customHeight="1">
      <c r="A5" s="18">
        <v>1</v>
      </c>
      <c r="B5" s="19"/>
      <c r="C5" s="19"/>
      <c r="D5" t="s" s="20">
        <v>15</v>
      </c>
      <c r="E5" s="19"/>
      <c r="F5" s="19"/>
      <c r="G5" s="21"/>
      <c r="H5" s="22" cm="1">
        <f t="array" ref="H5">COUNTIF(E5:G5,"C")</f>
        <v>0</v>
      </c>
      <c r="I5" s="22" cm="1">
        <f t="array" ref="I5">COUNTIF(E5:G5,"NC")</f>
        <v>0</v>
      </c>
      <c r="J5" s="22" cm="1">
        <f t="array" ref="J5">COUNTIF(E5:G5,"NA")</f>
        <v>0</v>
      </c>
      <c r="K5" s="22" cm="1">
        <f t="array" ref="K5">COUNTIF(E5:G5,"NT")</f>
        <v>0</v>
      </c>
      <c r="L5" t="str" s="23" cm="1">
        <f t="array" ref="L5">IF(I5&gt;0,"NC",IF(H5&gt;0,"C",IF(K5&gt;0,"NT","NA")))</f>
        <v>NA</v>
      </c>
      <c r="M5" s="18">
        <v>1</v>
      </c>
      <c r="N5" s="19"/>
      <c r="O5" s="19"/>
      <c r="P5" s="19"/>
      <c r="Q5" s="19"/>
      <c r="R5" s="21"/>
      <c r="S5" s="22" cm="1">
        <f t="array" ref="S5">COUNTIF(P5:R5,"D")</f>
        <v>0</v>
      </c>
    </row>
    <row r="6" ht="15.35" customHeight="1">
      <c r="A6" s="18">
        <v>1</v>
      </c>
      <c r="B6" s="19"/>
      <c r="C6" s="19"/>
      <c r="D6" t="s" s="20">
        <v>15</v>
      </c>
      <c r="E6" s="19"/>
      <c r="F6" s="19"/>
      <c r="G6" s="21"/>
      <c r="H6" s="22" cm="1">
        <f t="array" ref="H6">COUNTIF(E6:G6,"C")</f>
        <v>0</v>
      </c>
      <c r="I6" s="22" cm="1">
        <f t="array" ref="I6">COUNTIF(E6:G6,"NC")</f>
        <v>0</v>
      </c>
      <c r="J6" s="22" cm="1">
        <f t="array" ref="J6">COUNTIF(E6:G6,"NA")</f>
        <v>0</v>
      </c>
      <c r="K6" s="22" cm="1">
        <f t="array" ref="K6">COUNTIF(E6:G6,"NT")</f>
        <v>0</v>
      </c>
      <c r="L6" t="str" s="23" cm="1">
        <f t="array" ref="L6">IF(I6&gt;0,"NC",IF(H6&gt;0,"C",IF(K6&gt;0,"NT","NA")))</f>
        <v>NA</v>
      </c>
      <c r="M6" s="18">
        <v>1</v>
      </c>
      <c r="N6" s="19"/>
      <c r="O6" s="19"/>
      <c r="P6" s="19"/>
      <c r="Q6" s="19"/>
      <c r="R6" s="21"/>
      <c r="S6" s="22" cm="1">
        <f t="array" ref="S6">COUNTIF(P6:R6,"D")</f>
        <v>0</v>
      </c>
    </row>
    <row r="7" ht="15.35" customHeight="1">
      <c r="A7" s="18">
        <v>1</v>
      </c>
      <c r="B7" s="19"/>
      <c r="C7" s="19"/>
      <c r="D7" t="s" s="20">
        <v>15</v>
      </c>
      <c r="E7" s="19"/>
      <c r="F7" s="19"/>
      <c r="G7" s="21"/>
      <c r="H7" s="22" cm="1">
        <f t="array" ref="H7">COUNTIF(E7:G7,"C")</f>
        <v>0</v>
      </c>
      <c r="I7" s="22" cm="1">
        <f t="array" ref="I7">COUNTIF(E7:G7,"NC")</f>
        <v>0</v>
      </c>
      <c r="J7" s="22" cm="1">
        <f t="array" ref="J7">COUNTIF(E7:G7,"NA")</f>
        <v>0</v>
      </c>
      <c r="K7" s="22" cm="1">
        <f t="array" ref="K7">COUNTIF(E7:G7,"NT")</f>
        <v>0</v>
      </c>
      <c r="L7" t="str" s="23" cm="1">
        <f t="array" ref="L7">IF(I7&gt;0,"NC",IF(H7&gt;0,"C",IF(K7&gt;0,"NT","NA")))</f>
        <v>NA</v>
      </c>
      <c r="M7" s="18">
        <v>1</v>
      </c>
      <c r="N7" s="19"/>
      <c r="O7" s="19"/>
      <c r="P7" s="19"/>
      <c r="Q7" s="19"/>
      <c r="R7" s="21"/>
      <c r="S7" s="22" cm="1">
        <f t="array" ref="S7">COUNTIF(P7:R7,"D")</f>
        <v>0</v>
      </c>
    </row>
    <row r="8" ht="15.35" customHeight="1">
      <c r="A8" s="18">
        <v>1</v>
      </c>
      <c r="B8" s="19"/>
      <c r="C8" s="19"/>
      <c r="D8" t="s" s="20">
        <v>15</v>
      </c>
      <c r="E8" s="19"/>
      <c r="F8" s="19"/>
      <c r="G8" s="21"/>
      <c r="H8" s="22" cm="1">
        <f t="array" ref="H8">COUNTIF(E8:G8,"C")</f>
        <v>0</v>
      </c>
      <c r="I8" s="22" cm="1">
        <f t="array" ref="I8">COUNTIF(E8:G8,"NC")</f>
        <v>0</v>
      </c>
      <c r="J8" s="22" cm="1">
        <f t="array" ref="J8">COUNTIF(E8:G8,"NA")</f>
        <v>0</v>
      </c>
      <c r="K8" s="22" cm="1">
        <f t="array" ref="K8">COUNTIF(E8:G8,"NT")</f>
        <v>0</v>
      </c>
      <c r="L8" t="str" s="23" cm="1">
        <f t="array" ref="L8">IF(I8&gt;0,"NC",IF(H8&gt;0,"C",IF(K8&gt;0,"NT","NA")))</f>
        <v>NA</v>
      </c>
      <c r="M8" s="18">
        <v>1</v>
      </c>
      <c r="N8" s="19"/>
      <c r="O8" s="19"/>
      <c r="P8" s="19"/>
      <c r="Q8" s="19"/>
      <c r="R8" s="21"/>
      <c r="S8" s="22" cm="1">
        <f t="array" ref="S8">COUNTIF(P8:R8,"D")</f>
        <v>0</v>
      </c>
    </row>
    <row r="9" ht="15.35" customHeight="1">
      <c r="A9" s="24">
        <v>1</v>
      </c>
      <c r="B9" s="25"/>
      <c r="C9" s="25"/>
      <c r="D9" t="s" s="26">
        <v>15</v>
      </c>
      <c r="E9" s="25"/>
      <c r="F9" s="25"/>
      <c r="G9" s="27"/>
      <c r="H9" s="22" cm="1">
        <f t="array" ref="H9">COUNTIF(E9:G9,"C")</f>
        <v>0</v>
      </c>
      <c r="I9" s="22" cm="1">
        <f t="array" ref="I9">COUNTIF(E9:G9,"NC")</f>
        <v>0</v>
      </c>
      <c r="J9" s="22" cm="1">
        <f t="array" ref="J9">COUNTIF(E9:G9,"NA")</f>
        <v>0</v>
      </c>
      <c r="K9" s="22" cm="1">
        <f t="array" ref="K9">COUNTIF(E9:G9,"NT")</f>
        <v>0</v>
      </c>
      <c r="L9" t="str" s="23" cm="1">
        <f t="array" ref="L9">IF(I9&gt;0,"NC",IF(H9&gt;0,"C",IF(K9&gt;0,"NT","NA")))</f>
        <v>NA</v>
      </c>
      <c r="M9" s="24">
        <v>1</v>
      </c>
      <c r="N9" s="25"/>
      <c r="O9" s="25"/>
      <c r="P9" s="25"/>
      <c r="Q9" s="25"/>
      <c r="R9" s="27"/>
      <c r="S9" s="22" cm="1">
        <f t="array" ref="S9">COUNTIF(P9:R9,"D")</f>
        <v>0</v>
      </c>
    </row>
    <row r="10" ht="15.35" customHeight="1">
      <c r="A10" s="28"/>
      <c r="B10" s="29"/>
      <c r="C10" s="29"/>
      <c r="D10" s="29"/>
      <c r="E10" s="29"/>
      <c r="F10" s="29"/>
      <c r="G10" s="30"/>
      <c r="H10" s="31" cm="1">
        <f t="array" ref="H10">SUM(H3:H9)</f>
        <v>0</v>
      </c>
      <c r="I10" s="31" cm="1">
        <f t="array" ref="I10">SUM(I3:I9)</f>
        <v>0</v>
      </c>
      <c r="J10" s="31" cm="1">
        <f t="array" ref="J10">SUM(J3:J9)</f>
        <v>0</v>
      </c>
      <c r="K10" s="31" cm="1">
        <f t="array" ref="K10">SUM(K3:K9)</f>
        <v>0</v>
      </c>
      <c r="L10" s="32"/>
      <c r="M10" s="33"/>
      <c r="N10" s="29"/>
      <c r="O10" s="29"/>
      <c r="P10" s="29"/>
      <c r="Q10" s="29"/>
      <c r="R10" s="30"/>
      <c r="S10" s="31" cm="1">
        <f t="array" ref="S10">SUM(S1:S9)</f>
        <v>0</v>
      </c>
    </row>
    <row r="11" ht="15.35" customHeight="1">
      <c r="A11" s="34">
        <v>2</v>
      </c>
      <c r="B11" s="35"/>
      <c r="C11" s="35"/>
      <c r="D11" t="s" s="36">
        <v>15</v>
      </c>
      <c r="E11" s="35"/>
      <c r="F11" s="35"/>
      <c r="G11" s="37"/>
      <c r="H11" s="22" cm="1">
        <f t="array" ref="H11">COUNTIF(E11:G11,"C")</f>
        <v>0</v>
      </c>
      <c r="I11" s="22" cm="1">
        <f t="array" ref="I11">COUNTIF(E11:G11,"NC")</f>
        <v>0</v>
      </c>
      <c r="J11" s="22" cm="1">
        <f t="array" ref="J11">COUNTIF(E11:G11,"NA")</f>
        <v>0</v>
      </c>
      <c r="K11" s="22" cm="1">
        <f t="array" ref="K11">COUNTIF(E11:G11,"NT")</f>
        <v>0</v>
      </c>
      <c r="L11" t="str" s="23" cm="1">
        <f t="array" ref="L11">IF(I11&gt;0,"NC",IF(H11&gt;0,"C",IF(K11&gt;0,"NT","NA")))</f>
        <v>NA</v>
      </c>
      <c r="M11" s="34">
        <v>2</v>
      </c>
      <c r="N11" s="35"/>
      <c r="O11" s="35"/>
      <c r="P11" s="35"/>
      <c r="Q11" s="35"/>
      <c r="R11" s="37"/>
      <c r="S11" s="22" cm="1">
        <f t="array" ref="S11">COUNTIF(P11:R11,"D")</f>
        <v>0</v>
      </c>
    </row>
    <row r="12" ht="15.35" customHeight="1">
      <c r="A12" s="28"/>
      <c r="B12" s="29"/>
      <c r="C12" s="29"/>
      <c r="D12" s="29"/>
      <c r="E12" s="29"/>
      <c r="F12" s="29"/>
      <c r="G12" s="30"/>
      <c r="H12" s="31" cm="1">
        <f t="array" ref="H12">SUM(H11:H11)</f>
        <v>0</v>
      </c>
      <c r="I12" s="31" cm="1">
        <f t="array" ref="I12">SUM(I11:I11)</f>
        <v>0</v>
      </c>
      <c r="J12" s="31" cm="1">
        <f t="array" ref="J12">SUM(J11:J11)</f>
        <v>0</v>
      </c>
      <c r="K12" s="31" cm="1">
        <f t="array" ref="K12">SUM(K11:K11)</f>
        <v>0</v>
      </c>
      <c r="L12" s="32"/>
      <c r="M12" s="33"/>
      <c r="N12" s="29"/>
      <c r="O12" s="29"/>
      <c r="P12" s="29"/>
      <c r="Q12" s="29"/>
      <c r="R12" s="30"/>
      <c r="S12" s="31" cm="1">
        <f t="array" ref="S12">SUM(S11:S11)</f>
        <v>0</v>
      </c>
    </row>
    <row r="13" ht="15.35" customHeight="1">
      <c r="A13" s="38">
        <v>3</v>
      </c>
      <c r="B13" s="39"/>
      <c r="C13" s="39"/>
      <c r="D13" t="s" s="40">
        <v>15</v>
      </c>
      <c r="E13" s="39"/>
      <c r="F13" s="39"/>
      <c r="G13" s="41"/>
      <c r="H13" s="22" cm="1">
        <f t="array" ref="H13">COUNTIF(E13:G13,"C")</f>
        <v>0</v>
      </c>
      <c r="I13" s="22" cm="1">
        <f t="array" ref="I13">COUNTIF(E13:G13,"NC")</f>
        <v>0</v>
      </c>
      <c r="J13" s="22" cm="1">
        <f t="array" ref="J13">COUNTIF(E13:G13,"NA")</f>
        <v>0</v>
      </c>
      <c r="K13" s="22" cm="1">
        <f t="array" ref="K13">COUNTIF(E13:G13,"NT")</f>
        <v>0</v>
      </c>
      <c r="L13" t="str" s="23" cm="1">
        <f t="array" ref="L13">IF(I13&gt;0,"NC",IF(H13&gt;0,"C",IF(K13&gt;0,"NT","NA")))</f>
        <v>NA</v>
      </c>
      <c r="M13" s="38">
        <v>3</v>
      </c>
      <c r="N13" s="39"/>
      <c r="O13" s="39"/>
      <c r="P13" s="39"/>
      <c r="Q13" s="39"/>
      <c r="R13" s="41"/>
      <c r="S13" s="22" cm="1">
        <f t="array" ref="S13">COUNTIF(P13:R13,"D")</f>
        <v>0</v>
      </c>
    </row>
    <row r="14" ht="15.35" customHeight="1">
      <c r="A14" s="24">
        <v>3</v>
      </c>
      <c r="B14" s="25"/>
      <c r="C14" s="25"/>
      <c r="D14" t="s" s="26">
        <v>16</v>
      </c>
      <c r="E14" s="25"/>
      <c r="F14" s="25"/>
      <c r="G14" s="27"/>
      <c r="H14" s="22" cm="1">
        <f t="array" ref="H14">COUNTIF(E14:G14,"C")</f>
        <v>0</v>
      </c>
      <c r="I14" s="22" cm="1">
        <f t="array" ref="I14">COUNTIF(E14:G14,"NC")</f>
        <v>0</v>
      </c>
      <c r="J14" s="22" cm="1">
        <f t="array" ref="J14">COUNTIF(E14:G14,"NA")</f>
        <v>0</v>
      </c>
      <c r="K14" s="22" cm="1">
        <f t="array" ref="K14">COUNTIF(E14:G14,"NT")</f>
        <v>0</v>
      </c>
      <c r="L14" t="str" s="23" cm="1">
        <f t="array" ref="L14">IF(I14&gt;0,"NC",IF(H14&gt;0,"C",IF(K14&gt;0,"NT","NA")))</f>
        <v>NA</v>
      </c>
      <c r="M14" s="24">
        <v>3</v>
      </c>
      <c r="N14" s="25"/>
      <c r="O14" s="25"/>
      <c r="P14" s="25"/>
      <c r="Q14" s="25"/>
      <c r="R14" s="27"/>
      <c r="S14" s="22" cm="1">
        <f t="array" ref="S14">COUNTIF(P14:R14,"D")</f>
        <v>0</v>
      </c>
    </row>
    <row r="15" ht="15.35" customHeight="1">
      <c r="A15" s="28"/>
      <c r="B15" s="29"/>
      <c r="C15" s="29"/>
      <c r="D15" s="29"/>
      <c r="E15" s="29"/>
      <c r="F15" s="29"/>
      <c r="G15" s="30"/>
      <c r="H15" s="31" cm="1">
        <f t="array" ref="H15">SUM(H13:H14)</f>
        <v>0</v>
      </c>
      <c r="I15" s="31" cm="1">
        <f t="array" ref="I15">SUM(I13:I14)</f>
        <v>0</v>
      </c>
      <c r="J15" s="31" cm="1">
        <f t="array" ref="J15">SUM(J13:J14)</f>
        <v>0</v>
      </c>
      <c r="K15" s="31" cm="1">
        <f t="array" ref="K15">SUM(K13:K14)</f>
        <v>0</v>
      </c>
      <c r="L15" s="32"/>
      <c r="M15" s="33"/>
      <c r="N15" s="29"/>
      <c r="O15" s="29"/>
      <c r="P15" s="29"/>
      <c r="Q15" s="29"/>
      <c r="R15" s="30"/>
      <c r="S15" s="31" cm="1">
        <f t="array" ref="S15">SUM(S13:S14)</f>
        <v>0</v>
      </c>
    </row>
    <row r="16" ht="15.35" customHeight="1">
      <c r="A16" s="38">
        <v>4</v>
      </c>
      <c r="B16" s="39"/>
      <c r="C16" s="39"/>
      <c r="D16" t="s" s="40">
        <v>15</v>
      </c>
      <c r="E16" s="39"/>
      <c r="F16" s="39"/>
      <c r="G16" s="41"/>
      <c r="H16" s="22" cm="1">
        <f t="array" ref="H16">COUNTIF(E16:G16,"C")</f>
        <v>0</v>
      </c>
      <c r="I16" s="22" cm="1">
        <f t="array" ref="I16">COUNTIF(E16:G16,"NC")</f>
        <v>0</v>
      </c>
      <c r="J16" s="22" cm="1">
        <f t="array" ref="J16">COUNTIF(E16:G16,"NA")</f>
        <v>0</v>
      </c>
      <c r="K16" s="22" cm="1">
        <f t="array" ref="K16">COUNTIF(E16:G16,"NT")</f>
        <v>0</v>
      </c>
      <c r="L16" t="str" s="23" cm="1">
        <f t="array" ref="L16">IF(I16&gt;0,"NC",IF(H16&gt;0,"C",IF(K16&gt;0,"NT","NA")))</f>
        <v>NA</v>
      </c>
      <c r="M16" s="38">
        <v>4</v>
      </c>
      <c r="N16" s="39"/>
      <c r="O16" s="39"/>
      <c r="P16" s="39"/>
      <c r="Q16" s="39"/>
      <c r="R16" s="41"/>
      <c r="S16" s="22" cm="1">
        <f t="array" ref="S16">COUNTIF(P16:R16,"D")</f>
        <v>0</v>
      </c>
    </row>
    <row r="17" ht="15.35" customHeight="1">
      <c r="A17" s="18">
        <v>4</v>
      </c>
      <c r="B17" s="19"/>
      <c r="C17" s="19"/>
      <c r="D17" t="s" s="20">
        <v>15</v>
      </c>
      <c r="E17" s="19"/>
      <c r="F17" s="19"/>
      <c r="G17" s="21"/>
      <c r="H17" s="22" cm="1">
        <f t="array" ref="H17">COUNTIF(E17:G17,"C")</f>
        <v>0</v>
      </c>
      <c r="I17" s="22" cm="1">
        <f t="array" ref="I17">COUNTIF(E17:G17,"NC")</f>
        <v>0</v>
      </c>
      <c r="J17" s="22" cm="1">
        <f t="array" ref="J17">COUNTIF(E17:G17,"NA")</f>
        <v>0</v>
      </c>
      <c r="K17" s="22" cm="1">
        <f t="array" ref="K17">COUNTIF(E17:G17,"NT")</f>
        <v>0</v>
      </c>
      <c r="L17" t="str" s="23" cm="1">
        <f t="array" ref="L17">IF(I17&gt;0,"NC",IF(H17&gt;0,"C",IF(K17&gt;0,"NT","NA")))</f>
        <v>NA</v>
      </c>
      <c r="M17" s="18">
        <v>4</v>
      </c>
      <c r="N17" s="19"/>
      <c r="O17" s="19"/>
      <c r="P17" s="19"/>
      <c r="Q17" s="19"/>
      <c r="R17" s="21"/>
      <c r="S17" s="22" cm="1">
        <f t="array" ref="S17">COUNTIF(P17:R17,"D")</f>
        <v>0</v>
      </c>
    </row>
    <row r="18" ht="15.35" customHeight="1">
      <c r="A18" s="18">
        <v>4</v>
      </c>
      <c r="B18" s="19"/>
      <c r="C18" s="19"/>
      <c r="D18" t="s" s="20">
        <v>15</v>
      </c>
      <c r="E18" s="19"/>
      <c r="F18" s="19"/>
      <c r="G18" s="21"/>
      <c r="H18" s="22" cm="1">
        <f t="array" ref="H18">COUNTIF(E18:G18,"C")</f>
        <v>0</v>
      </c>
      <c r="I18" s="22" cm="1">
        <f t="array" ref="I18">COUNTIF(E18:G18,"NC")</f>
        <v>0</v>
      </c>
      <c r="J18" s="22" cm="1">
        <f t="array" ref="J18">COUNTIF(E18:G18,"NA")</f>
        <v>0</v>
      </c>
      <c r="K18" s="22" cm="1">
        <f t="array" ref="K18">COUNTIF(E18:G18,"NT")</f>
        <v>0</v>
      </c>
      <c r="L18" t="str" s="23" cm="1">
        <f t="array" ref="L18">IF(I18&gt;0,"NC",IF(H18&gt;0,"C",IF(K18&gt;0,"NT","NA")))</f>
        <v>NA</v>
      </c>
      <c r="M18" s="18">
        <v>4</v>
      </c>
      <c r="N18" s="19"/>
      <c r="O18" s="19"/>
      <c r="P18" s="19"/>
      <c r="Q18" s="19"/>
      <c r="R18" s="21"/>
      <c r="S18" s="22" cm="1">
        <f t="array" ref="S18">COUNTIF(P18:R18,"D")</f>
        <v>0</v>
      </c>
    </row>
    <row r="19" ht="15.35" customHeight="1">
      <c r="A19" s="18">
        <v>4</v>
      </c>
      <c r="B19" s="19"/>
      <c r="C19" s="19"/>
      <c r="D19" t="s" s="20">
        <v>15</v>
      </c>
      <c r="E19" s="19"/>
      <c r="F19" s="19"/>
      <c r="G19" s="21"/>
      <c r="H19" s="22" cm="1">
        <f t="array" ref="H19">COUNTIF(E19:G19,"C")</f>
        <v>0</v>
      </c>
      <c r="I19" s="22" cm="1">
        <f t="array" ref="I19">COUNTIF(E19:G19,"NC")</f>
        <v>0</v>
      </c>
      <c r="J19" s="22" cm="1">
        <f t="array" ref="J19">COUNTIF(E19:G19,"NA")</f>
        <v>0</v>
      </c>
      <c r="K19" s="22" cm="1">
        <f t="array" ref="K19">COUNTIF(E19:G19,"NT")</f>
        <v>0</v>
      </c>
      <c r="L19" t="str" s="23" cm="1">
        <f t="array" ref="L19">IF(I19&gt;0,"NC",IF(H19&gt;0,"C",IF(K19&gt;0,"NT","NA")))</f>
        <v>NA</v>
      </c>
      <c r="M19" s="18">
        <v>4</v>
      </c>
      <c r="N19" s="19"/>
      <c r="O19" s="19"/>
      <c r="P19" s="19"/>
      <c r="Q19" s="19"/>
      <c r="R19" s="21"/>
      <c r="S19" s="22" cm="1">
        <f t="array" ref="S19">COUNTIF(P19:R19,"D")</f>
        <v>0</v>
      </c>
    </row>
    <row r="20" ht="15.35" customHeight="1">
      <c r="A20" s="18">
        <v>4</v>
      </c>
      <c r="B20" s="19"/>
      <c r="C20" s="19"/>
      <c r="D20" t="s" s="20">
        <v>15</v>
      </c>
      <c r="E20" s="19"/>
      <c r="F20" s="19"/>
      <c r="G20" s="21"/>
      <c r="H20" s="22" cm="1">
        <f t="array" ref="H20">COUNTIF(E20:G20,"C")</f>
        <v>0</v>
      </c>
      <c r="I20" s="22" cm="1">
        <f t="array" ref="I20">COUNTIF(E20:G20,"NC")</f>
        <v>0</v>
      </c>
      <c r="J20" s="22" cm="1">
        <f t="array" ref="J20">COUNTIF(E20:G20,"NA")</f>
        <v>0</v>
      </c>
      <c r="K20" s="22" cm="1">
        <f t="array" ref="K20">COUNTIF(E20:G20,"NT")</f>
        <v>0</v>
      </c>
      <c r="L20" t="str" s="23" cm="1">
        <f t="array" ref="L20">IF(I20&gt;0,"NC",IF(H20&gt;0,"C",IF(K20&gt;0,"NT","NA")))</f>
        <v>NA</v>
      </c>
      <c r="M20" s="18">
        <v>4</v>
      </c>
      <c r="N20" s="19"/>
      <c r="O20" s="19"/>
      <c r="P20" s="19"/>
      <c r="Q20" s="19"/>
      <c r="R20" s="21"/>
      <c r="S20" s="22" cm="1">
        <f t="array" ref="S20">COUNTIF(P20:R20,"D")</f>
        <v>0</v>
      </c>
    </row>
    <row r="21" ht="15.35" customHeight="1">
      <c r="A21" s="18">
        <v>4</v>
      </c>
      <c r="B21" s="19"/>
      <c r="C21" s="19"/>
      <c r="D21" t="s" s="20">
        <v>15</v>
      </c>
      <c r="E21" s="19"/>
      <c r="F21" s="19"/>
      <c r="G21" s="21"/>
      <c r="H21" s="22" cm="1">
        <f t="array" ref="H21">COUNTIF(E21:G21,"C")</f>
        <v>0</v>
      </c>
      <c r="I21" s="22" cm="1">
        <f t="array" ref="I21">COUNTIF(E21:G21,"NC")</f>
        <v>0</v>
      </c>
      <c r="J21" s="22" cm="1">
        <f t="array" ref="J21">COUNTIF(E21:G21,"NA")</f>
        <v>0</v>
      </c>
      <c r="K21" s="22" cm="1">
        <f t="array" ref="K21">COUNTIF(E21:G21,"NT")</f>
        <v>0</v>
      </c>
      <c r="L21" t="str" s="23" cm="1">
        <f t="array" ref="L21">IF(I21&gt;0,"NC",IF(H21&gt;0,"C",IF(K21&gt;0,"NT","NA")))</f>
        <v>NA</v>
      </c>
      <c r="M21" s="18">
        <v>4</v>
      </c>
      <c r="N21" s="19"/>
      <c r="O21" s="19"/>
      <c r="P21" s="19"/>
      <c r="Q21" s="19"/>
      <c r="R21" s="21"/>
      <c r="S21" s="22" cm="1">
        <f t="array" ref="S21">COUNTIF(P21:R21,"D")</f>
        <v>0</v>
      </c>
    </row>
    <row r="22" ht="15.35" customHeight="1">
      <c r="A22" s="18">
        <v>4</v>
      </c>
      <c r="B22" s="19"/>
      <c r="C22" s="19"/>
      <c r="D22" t="s" s="20">
        <v>15</v>
      </c>
      <c r="E22" s="19"/>
      <c r="F22" s="19"/>
      <c r="G22" s="21"/>
      <c r="H22" s="22" cm="1">
        <f t="array" ref="H22">COUNTIF(E22:G22,"C")</f>
        <v>0</v>
      </c>
      <c r="I22" s="22" cm="1">
        <f t="array" ref="I22">COUNTIF(E22:G22,"NC")</f>
        <v>0</v>
      </c>
      <c r="J22" s="22" cm="1">
        <f t="array" ref="J22">COUNTIF(E22:G22,"NA")</f>
        <v>0</v>
      </c>
      <c r="K22" s="22" cm="1">
        <f t="array" ref="K22">COUNTIF(E22:G22,"NT")</f>
        <v>0</v>
      </c>
      <c r="L22" t="str" s="23" cm="1">
        <f t="array" ref="L22">IF(I22&gt;0,"NC",IF(H22&gt;0,"C",IF(K22&gt;0,"NT","NA")))</f>
        <v>NA</v>
      </c>
      <c r="M22" s="18">
        <v>4</v>
      </c>
      <c r="N22" s="19"/>
      <c r="O22" s="19"/>
      <c r="P22" s="19"/>
      <c r="Q22" s="19"/>
      <c r="R22" s="21"/>
      <c r="S22" s="22" cm="1">
        <f t="array" ref="S22">COUNTIF(P22:R22,"D")</f>
        <v>0</v>
      </c>
    </row>
    <row r="23" ht="15.35" customHeight="1">
      <c r="A23" s="24">
        <v>4</v>
      </c>
      <c r="B23" s="25"/>
      <c r="C23" s="25"/>
      <c r="D23" t="s" s="26">
        <v>15</v>
      </c>
      <c r="E23" s="25"/>
      <c r="F23" s="25"/>
      <c r="G23" s="27"/>
      <c r="H23" s="22" cm="1">
        <f t="array" ref="H23">COUNTIF(E23:G23,"C")</f>
        <v>0</v>
      </c>
      <c r="I23" s="22" cm="1">
        <f t="array" ref="I23">COUNTIF(E23:G23,"NC")</f>
        <v>0</v>
      </c>
      <c r="J23" s="22" cm="1">
        <f t="array" ref="J23">COUNTIF(E23:G23,"NA")</f>
        <v>0</v>
      </c>
      <c r="K23" s="22" cm="1">
        <f t="array" ref="K23">COUNTIF(E23:G23,"NT")</f>
        <v>0</v>
      </c>
      <c r="L23" t="str" s="23" cm="1">
        <f t="array" ref="L23">IF(I23&gt;0,"NC",IF(H23&gt;0,"C",IF(K23&gt;0,"NT","NA")))</f>
        <v>NA</v>
      </c>
      <c r="M23" s="24">
        <v>4</v>
      </c>
      <c r="N23" s="25"/>
      <c r="O23" s="25"/>
      <c r="P23" s="25"/>
      <c r="Q23" s="25"/>
      <c r="R23" s="27"/>
      <c r="S23" s="22" cm="1">
        <f t="array" ref="S23">COUNTIF(P23:R23,"D")</f>
        <v>0</v>
      </c>
    </row>
    <row r="24" ht="15.35" customHeight="1">
      <c r="A24" s="28"/>
      <c r="B24" s="29"/>
      <c r="C24" s="29"/>
      <c r="D24" s="29"/>
      <c r="E24" s="29"/>
      <c r="F24" s="29"/>
      <c r="G24" s="30"/>
      <c r="H24" s="31" cm="1">
        <f t="array" ref="H24">SUM(H16:H23)</f>
        <v>0</v>
      </c>
      <c r="I24" s="31" cm="1">
        <f t="array" ref="I24">SUM(I16:I23)</f>
        <v>0</v>
      </c>
      <c r="J24" s="31" cm="1">
        <f t="array" ref="J24">SUM(J16:J23)</f>
        <v>0</v>
      </c>
      <c r="K24" s="31" cm="1">
        <f t="array" ref="K24">SUM(K16:K23)</f>
        <v>0</v>
      </c>
      <c r="L24" s="32"/>
      <c r="M24" s="33"/>
      <c r="N24" s="29"/>
      <c r="O24" s="29"/>
      <c r="P24" s="29"/>
      <c r="Q24" s="29"/>
      <c r="R24" s="30"/>
      <c r="S24" s="31" cm="1">
        <f t="array" ref="S24">SUM(S16:S23)</f>
        <v>0</v>
      </c>
    </row>
    <row r="25" ht="15.35" customHeight="1">
      <c r="A25" s="38">
        <v>5</v>
      </c>
      <c r="B25" s="39"/>
      <c r="C25" s="39"/>
      <c r="D25" t="s" s="40">
        <v>15</v>
      </c>
      <c r="E25" s="39"/>
      <c r="F25" s="39"/>
      <c r="G25" s="41"/>
      <c r="H25" s="22" cm="1">
        <f t="array" ref="H25">COUNTIF(E25:G25,"C")</f>
        <v>0</v>
      </c>
      <c r="I25" s="22" cm="1">
        <f t="array" ref="I25">COUNTIF(E25:G25,"NC")</f>
        <v>0</v>
      </c>
      <c r="J25" s="22" cm="1">
        <f t="array" ref="J25">COUNTIF(E25:G25,"NA")</f>
        <v>0</v>
      </c>
      <c r="K25" s="22" cm="1">
        <f t="array" ref="K25">COUNTIF(E25:G25,"NT")</f>
        <v>0</v>
      </c>
      <c r="L25" t="str" s="23" cm="1">
        <f t="array" ref="L25">IF(I25&gt;0,"NC",IF(H25&gt;0,"C",IF(K25&gt;0,"NT","NA")))</f>
        <v>NA</v>
      </c>
      <c r="M25" s="38">
        <v>5</v>
      </c>
      <c r="N25" s="39"/>
      <c r="O25" s="39"/>
      <c r="P25" s="39"/>
      <c r="Q25" s="39"/>
      <c r="R25" s="41"/>
      <c r="S25" s="22" cm="1">
        <f t="array" ref="S25">COUNTIF(P25:R25,"D")</f>
        <v>0</v>
      </c>
    </row>
    <row r="26" ht="15.35" customHeight="1">
      <c r="A26" s="24">
        <v>5</v>
      </c>
      <c r="B26" s="25"/>
      <c r="C26" s="25"/>
      <c r="D26" t="s" s="26">
        <v>15</v>
      </c>
      <c r="E26" s="25"/>
      <c r="F26" s="25"/>
      <c r="G26" s="27"/>
      <c r="H26" s="22" cm="1">
        <f t="array" ref="H26">COUNTIF(E26:G26,"C")</f>
        <v>0</v>
      </c>
      <c r="I26" s="22" cm="1">
        <f t="array" ref="I26">COUNTIF(E26:G26,"NC")</f>
        <v>0</v>
      </c>
      <c r="J26" s="22" cm="1">
        <f t="array" ref="J26">COUNTIF(E26:G26,"NA")</f>
        <v>0</v>
      </c>
      <c r="K26" s="22" cm="1">
        <f t="array" ref="K26">COUNTIF(E26:G26,"NT")</f>
        <v>0</v>
      </c>
      <c r="L26" t="str" s="23" cm="1">
        <f t="array" ref="L26">IF(I26&gt;0,"NC",IF(H26&gt;0,"C",IF(K26&gt;0,"NT","NA")))</f>
        <v>NA</v>
      </c>
      <c r="M26" s="24">
        <v>5</v>
      </c>
      <c r="N26" s="25"/>
      <c r="O26" s="25"/>
      <c r="P26" s="25"/>
      <c r="Q26" s="25"/>
      <c r="R26" s="27"/>
      <c r="S26" s="22" cm="1">
        <f t="array" ref="S26">COUNTIF(P26:R26,"D")</f>
        <v>0</v>
      </c>
    </row>
    <row r="27" ht="15.35" customHeight="1">
      <c r="A27" s="28"/>
      <c r="B27" s="29"/>
      <c r="C27" s="29"/>
      <c r="D27" s="29"/>
      <c r="E27" s="29"/>
      <c r="F27" s="29"/>
      <c r="G27" s="30"/>
      <c r="H27" s="31" cm="1">
        <f t="array" ref="H27">SUM(H25:H26)</f>
        <v>0</v>
      </c>
      <c r="I27" s="31" cm="1">
        <f t="array" ref="I27">SUM(I25:I26)</f>
        <v>0</v>
      </c>
      <c r="J27" s="31" cm="1">
        <f t="array" ref="J27">SUM(J25:J26)</f>
        <v>0</v>
      </c>
      <c r="K27" s="31" cm="1">
        <f t="array" ref="K27">SUM(K25:K26)</f>
        <v>0</v>
      </c>
      <c r="L27" s="32"/>
      <c r="M27" s="33"/>
      <c r="N27" s="29"/>
      <c r="O27" s="29"/>
      <c r="P27" s="29"/>
      <c r="Q27" s="29"/>
      <c r="R27" s="30"/>
      <c r="S27" s="31" cm="1">
        <f t="array" ref="S27">SUM(S25:S26)</f>
        <v>0</v>
      </c>
    </row>
    <row r="28" ht="15.35" customHeight="1">
      <c r="A28" s="38">
        <v>6</v>
      </c>
      <c r="B28" s="39"/>
      <c r="C28" s="39"/>
      <c r="D28" t="s" s="40">
        <v>15</v>
      </c>
      <c r="E28" s="39"/>
      <c r="F28" s="39"/>
      <c r="G28" s="41"/>
      <c r="H28" s="22" cm="1">
        <f t="array" ref="H28">COUNTIF(E28:G28,"C")</f>
        <v>0</v>
      </c>
      <c r="I28" s="22" cm="1">
        <f t="array" ref="I28">COUNTIF(E28:G28,"NC")</f>
        <v>0</v>
      </c>
      <c r="J28" s="22" cm="1">
        <f t="array" ref="J28">COUNTIF(E28:G28,"NA")</f>
        <v>0</v>
      </c>
      <c r="K28" s="22" cm="1">
        <f t="array" ref="K28">COUNTIF(E28:G28,"NT")</f>
        <v>0</v>
      </c>
      <c r="L28" t="str" s="23" cm="1">
        <f t="array" ref="L28">IF(I28&gt;0,"NC",IF(H28&gt;0,"C",IF(K28&gt;0,"NT","NA")))</f>
        <v>NA</v>
      </c>
      <c r="M28" s="38">
        <v>6</v>
      </c>
      <c r="N28" s="39"/>
      <c r="O28" s="39"/>
      <c r="P28" s="39"/>
      <c r="Q28" s="39"/>
      <c r="R28" s="41"/>
      <c r="S28" s="22" cm="1">
        <f t="array" ref="S28">COUNTIF(P28:R28,"D")</f>
        <v>0</v>
      </c>
    </row>
    <row r="29" ht="15.35" customHeight="1">
      <c r="A29" s="24">
        <v>6</v>
      </c>
      <c r="B29" s="25"/>
      <c r="C29" s="25"/>
      <c r="D29" t="s" s="26">
        <v>15</v>
      </c>
      <c r="E29" s="25"/>
      <c r="F29" s="25"/>
      <c r="G29" s="27"/>
      <c r="H29" s="22" cm="1">
        <f t="array" ref="H29">COUNTIF(E29:G29,"C")</f>
        <v>0</v>
      </c>
      <c r="I29" s="22" cm="1">
        <f t="array" ref="I29">COUNTIF(E29:G29,"NC")</f>
        <v>0</v>
      </c>
      <c r="J29" s="22" cm="1">
        <f t="array" ref="J29">COUNTIF(E29:G29,"NA")</f>
        <v>0</v>
      </c>
      <c r="K29" s="22" cm="1">
        <f t="array" ref="K29">COUNTIF(E29:G29,"NT")</f>
        <v>0</v>
      </c>
      <c r="L29" t="str" s="23" cm="1">
        <f t="array" ref="L29">IF(I29&gt;0,"NC",IF(H29&gt;0,"C",IF(K29&gt;0,"NT","NA")))</f>
        <v>NA</v>
      </c>
      <c r="M29" s="24">
        <v>6</v>
      </c>
      <c r="N29" s="25"/>
      <c r="O29" s="25"/>
      <c r="P29" s="25"/>
      <c r="Q29" s="25"/>
      <c r="R29" s="27"/>
      <c r="S29" s="22" cm="1">
        <f t="array" ref="S29">COUNTIF(P29:R29,"D")</f>
        <v>0</v>
      </c>
    </row>
    <row r="30" ht="15.35" customHeight="1">
      <c r="A30" s="28"/>
      <c r="B30" s="29"/>
      <c r="C30" s="29"/>
      <c r="D30" s="29"/>
      <c r="E30" s="29"/>
      <c r="F30" s="29"/>
      <c r="G30" s="30"/>
      <c r="H30" s="31" cm="1">
        <f t="array" ref="H30">SUM(H28:H29)</f>
        <v>0</v>
      </c>
      <c r="I30" s="31" cm="1">
        <f t="array" ref="I30">SUM(I28:I29)</f>
        <v>0</v>
      </c>
      <c r="J30" s="31" cm="1">
        <f t="array" ref="J30">SUM(J28:J29)</f>
        <v>0</v>
      </c>
      <c r="K30" s="31" cm="1">
        <f t="array" ref="K30">SUM(K28:K29)</f>
        <v>0</v>
      </c>
      <c r="L30" s="32"/>
      <c r="M30" s="33"/>
      <c r="N30" s="29"/>
      <c r="O30" s="29"/>
      <c r="P30" s="29"/>
      <c r="Q30" s="29"/>
      <c r="R30" s="30"/>
      <c r="S30" s="31" cm="1">
        <f t="array" ref="S30">SUM(S28:S29)</f>
        <v>0</v>
      </c>
    </row>
    <row r="31" ht="15.35" customHeight="1">
      <c r="A31" s="34">
        <v>7</v>
      </c>
      <c r="B31" s="35"/>
      <c r="C31" s="35"/>
      <c r="D31" t="s" s="36">
        <v>15</v>
      </c>
      <c r="E31" s="35"/>
      <c r="F31" s="35"/>
      <c r="G31" s="37"/>
      <c r="H31" s="22" cm="1">
        <f t="array" ref="H31">COUNTIF(E31:G31,"C")</f>
        <v>0</v>
      </c>
      <c r="I31" s="22" cm="1">
        <f t="array" ref="I31">COUNTIF(E31:G31,"NC")</f>
        <v>0</v>
      </c>
      <c r="J31" s="22" cm="1">
        <f t="array" ref="J31">COUNTIF(E31:G31,"NA")</f>
        <v>0</v>
      </c>
      <c r="K31" s="22" cm="1">
        <f t="array" ref="K31">COUNTIF(E31:G31,"NT")</f>
        <v>0</v>
      </c>
      <c r="L31" t="str" s="23" cm="1">
        <f t="array" ref="L31">IF(I31&gt;0,"NC",IF(H31&gt;0,"C",IF(K31&gt;0,"NT","NA")))</f>
        <v>NA</v>
      </c>
      <c r="M31" s="34">
        <v>7</v>
      </c>
      <c r="N31" s="35"/>
      <c r="O31" s="35"/>
      <c r="P31" s="35"/>
      <c r="Q31" s="35"/>
      <c r="R31" s="37"/>
      <c r="S31" s="22" cm="1">
        <f t="array" ref="S31">COUNTIF(P31:R31,"D")</f>
        <v>0</v>
      </c>
    </row>
    <row r="32" ht="15.35" customHeight="1">
      <c r="A32" s="28"/>
      <c r="B32" s="29"/>
      <c r="C32" s="29"/>
      <c r="D32" s="29"/>
      <c r="E32" s="29"/>
      <c r="F32" s="29"/>
      <c r="G32" s="29"/>
      <c r="H32" s="42" cm="1">
        <f t="array" ref="H32">SUM(H31:H31)</f>
        <v>0</v>
      </c>
      <c r="I32" s="42" cm="1">
        <f t="array" ref="I32">SUM(I31:I31)</f>
        <v>0</v>
      </c>
      <c r="J32" s="42" cm="1">
        <f t="array" ref="J32">SUM(J31:J31)</f>
        <v>0</v>
      </c>
      <c r="K32" s="42" cm="1">
        <f t="array" ref="K32">SUM(K31:K31)</f>
        <v>0</v>
      </c>
      <c r="L32" s="43"/>
      <c r="M32" s="33"/>
      <c r="N32" s="29"/>
      <c r="O32" s="29"/>
      <c r="P32" s="29"/>
      <c r="Q32" s="29"/>
      <c r="R32" s="29"/>
      <c r="S32" s="44" cm="1">
        <f t="array" ref="S32">SUM(S31:S31)</f>
        <v>0</v>
      </c>
    </row>
    <row r="33" ht="15.35" customHeight="1">
      <c r="A33" s="38">
        <v>8</v>
      </c>
      <c r="B33" s="45">
        <v>8.1</v>
      </c>
      <c r="C33" s="39"/>
      <c r="D33" t="s" s="40">
        <v>15</v>
      </c>
      <c r="E33" s="39"/>
      <c r="F33" s="39"/>
      <c r="G33" s="41"/>
      <c r="H33" s="22" cm="1">
        <f t="array" ref="H33">COUNTIF(E33:G33,"C")</f>
        <v>0</v>
      </c>
      <c r="I33" s="22" cm="1">
        <f t="array" ref="I33">COUNTIF(E33:G33,"NC")</f>
        <v>0</v>
      </c>
      <c r="J33" s="22" cm="1">
        <f t="array" ref="J33">COUNTIF(E33:G33,"NA")</f>
        <v>0</v>
      </c>
      <c r="K33" s="22" cm="1">
        <f t="array" ref="K33">COUNTIF(E33:G33,"NT")</f>
        <v>0</v>
      </c>
      <c r="L33" t="str" s="23" cm="1">
        <f t="array" ref="L33">IF(I33&gt;0,"NC",IF(H33&gt;0,"C",IF(K33&gt;0,"NT","NA")))</f>
        <v>NA</v>
      </c>
      <c r="M33" s="38">
        <v>8</v>
      </c>
      <c r="N33" s="45">
        <v>8.1</v>
      </c>
      <c r="O33" s="39"/>
      <c r="P33" s="39"/>
      <c r="Q33" s="39"/>
      <c r="R33" s="41"/>
      <c r="S33" s="22" cm="1">
        <f t="array" ref="S33">COUNTIF(P33:R33,"D")</f>
        <v>0</v>
      </c>
    </row>
    <row r="34" ht="15.35" customHeight="1">
      <c r="A34" s="18">
        <v>8</v>
      </c>
      <c r="B34" s="46">
        <v>8.199999999999999</v>
      </c>
      <c r="C34" s="19"/>
      <c r="D34" t="s" s="20">
        <v>15</v>
      </c>
      <c r="E34" s="19"/>
      <c r="F34" s="19"/>
      <c r="G34" s="21"/>
      <c r="H34" s="22" cm="1">
        <f t="array" ref="H34">COUNTIF(E34:G34,"C")</f>
        <v>0</v>
      </c>
      <c r="I34" s="22" cm="1">
        <f t="array" ref="I34">COUNTIF(E34:G34,"NC")</f>
        <v>0</v>
      </c>
      <c r="J34" s="22" cm="1">
        <f t="array" ref="J34">COUNTIF(E34:G34,"NA")</f>
        <v>0</v>
      </c>
      <c r="K34" s="22" cm="1">
        <f t="array" ref="K34">COUNTIF(E34:G34,"NT")</f>
        <v>0</v>
      </c>
      <c r="L34" t="str" s="23" cm="1">
        <f t="array" ref="L34">IF(I34&gt;0,"NC",IF(H34&gt;0,"C",IF(K34&gt;0,"NT","NA")))</f>
        <v>NA</v>
      </c>
      <c r="M34" s="18">
        <v>8</v>
      </c>
      <c r="N34" s="46">
        <v>8.199999999999999</v>
      </c>
      <c r="O34" s="19"/>
      <c r="P34" s="19"/>
      <c r="Q34" s="19"/>
      <c r="R34" s="21"/>
      <c r="S34" s="22" cm="1">
        <f t="array" ref="S34">COUNTIF(P34:R34,"D")</f>
        <v>0</v>
      </c>
    </row>
    <row r="35" ht="15.35" customHeight="1">
      <c r="A35" s="18">
        <v>8</v>
      </c>
      <c r="B35" s="46">
        <v>8.300000000000001</v>
      </c>
      <c r="C35" s="19"/>
      <c r="D35" t="s" s="20">
        <v>15</v>
      </c>
      <c r="E35" s="19"/>
      <c r="F35" s="19"/>
      <c r="G35" s="21"/>
      <c r="H35" s="22" cm="1">
        <f t="array" ref="H35">COUNTIF(E35:G35,"C")</f>
        <v>0</v>
      </c>
      <c r="I35" s="22" cm="1">
        <f t="array" ref="I35">COUNTIF(E35:G35,"NC")</f>
        <v>0</v>
      </c>
      <c r="J35" s="22" cm="1">
        <f t="array" ref="J35">COUNTIF(E35:G35,"NA")</f>
        <v>0</v>
      </c>
      <c r="K35" s="22" cm="1">
        <f t="array" ref="K35">COUNTIF(E35:G35,"NT")</f>
        <v>0</v>
      </c>
      <c r="L35" t="str" s="23" cm="1">
        <f t="array" ref="L35">IF(I35&gt;0,"NC",IF(H35&gt;0,"C",IF(K35&gt;0,"NT","NA")))</f>
        <v>NA</v>
      </c>
      <c r="M35" s="18">
        <v>8</v>
      </c>
      <c r="N35" s="46">
        <v>8.300000000000001</v>
      </c>
      <c r="O35" s="19"/>
      <c r="P35" s="19"/>
      <c r="Q35" s="19"/>
      <c r="R35" s="21"/>
      <c r="S35" s="22" cm="1">
        <f t="array" ref="S35">COUNTIF(P35:R35,"D")</f>
        <v>0</v>
      </c>
    </row>
    <row r="36" ht="15.35" customHeight="1">
      <c r="A36" s="18">
        <v>8</v>
      </c>
      <c r="B36" s="19"/>
      <c r="C36" s="19"/>
      <c r="D36" t="s" s="20">
        <v>15</v>
      </c>
      <c r="E36" s="19"/>
      <c r="F36" s="19"/>
      <c r="G36" s="21"/>
      <c r="H36" s="22" cm="1">
        <f t="array" ref="H36">COUNTIF(E36:G36,"C")</f>
        <v>0</v>
      </c>
      <c r="I36" s="22" cm="1">
        <f t="array" ref="I36">COUNTIF(E36:G36,"NC")</f>
        <v>0</v>
      </c>
      <c r="J36" s="22" cm="1">
        <f t="array" ref="J36">COUNTIF(E36:G36,"NA")</f>
        <v>0</v>
      </c>
      <c r="K36" s="22" cm="1">
        <f t="array" ref="K36">COUNTIF(E36:G36,"NT")</f>
        <v>0</v>
      </c>
      <c r="L36" t="str" s="23" cm="1">
        <f t="array" ref="L36">IF(I36&gt;0,"NC",IF(H36&gt;0,"C",IF(K36&gt;0,"NT","NA")))</f>
        <v>NA</v>
      </c>
      <c r="M36" s="18">
        <v>8</v>
      </c>
      <c r="N36" s="19"/>
      <c r="O36" s="19"/>
      <c r="P36" s="19"/>
      <c r="Q36" s="19"/>
      <c r="R36" s="21"/>
      <c r="S36" s="22" cm="1">
        <f t="array" ref="S36">COUNTIF(P36:R36,"D")</f>
        <v>0</v>
      </c>
    </row>
    <row r="37" ht="15.35" customHeight="1">
      <c r="A37" s="18">
        <v>8</v>
      </c>
      <c r="B37" s="19"/>
      <c r="C37" s="19"/>
      <c r="D37" t="s" s="20">
        <v>15</v>
      </c>
      <c r="E37" s="19"/>
      <c r="F37" s="19"/>
      <c r="G37" s="21"/>
      <c r="H37" s="22" cm="1">
        <f t="array" ref="H37">COUNTIF(E37:G37,"C")</f>
        <v>0</v>
      </c>
      <c r="I37" s="22" cm="1">
        <f t="array" ref="I37">COUNTIF(E37:G37,"NC")</f>
        <v>0</v>
      </c>
      <c r="J37" s="22" cm="1">
        <f t="array" ref="J37">COUNTIF(E37:G37,"NA")</f>
        <v>0</v>
      </c>
      <c r="K37" s="22" cm="1">
        <f t="array" ref="K37">COUNTIF(E37:G37,"NT")</f>
        <v>0</v>
      </c>
      <c r="L37" t="str" s="23" cm="1">
        <f t="array" ref="L37">IF(I37&gt;0,"NC",IF(H37&gt;0,"C",IF(K37&gt;0,"NT","NA")))</f>
        <v>NA</v>
      </c>
      <c r="M37" s="18">
        <v>8</v>
      </c>
      <c r="N37" s="19"/>
      <c r="O37" s="19"/>
      <c r="P37" s="19"/>
      <c r="Q37" s="19"/>
      <c r="R37" s="21"/>
      <c r="S37" s="22" cm="1">
        <f t="array" ref="S37">COUNTIF(P37:R37,"D")</f>
        <v>0</v>
      </c>
    </row>
    <row r="38" ht="15.35" customHeight="1">
      <c r="A38" s="18">
        <v>8</v>
      </c>
      <c r="B38" s="19"/>
      <c r="C38" s="19"/>
      <c r="D38" t="s" s="20">
        <v>15</v>
      </c>
      <c r="E38" s="19"/>
      <c r="F38" s="19"/>
      <c r="G38" s="21"/>
      <c r="H38" s="22" cm="1">
        <f t="array" ref="H38">COUNTIF(E38:G38,"C")</f>
        <v>0</v>
      </c>
      <c r="I38" s="22" cm="1">
        <f t="array" ref="I38">COUNTIF(E38:G38,"NC")</f>
        <v>0</v>
      </c>
      <c r="J38" s="22" cm="1">
        <f t="array" ref="J38">COUNTIF(E38:G38,"NA")</f>
        <v>0</v>
      </c>
      <c r="K38" s="22" cm="1">
        <f t="array" ref="K38">COUNTIF(E38:G38,"NT")</f>
        <v>0</v>
      </c>
      <c r="L38" t="str" s="23" cm="1">
        <f t="array" ref="L38">IF(I38&gt;0,"NC",IF(H38&gt;0,"C",IF(K38&gt;0,"NT","NA")))</f>
        <v>NA</v>
      </c>
      <c r="M38" s="18">
        <v>8</v>
      </c>
      <c r="N38" s="19"/>
      <c r="O38" s="19"/>
      <c r="P38" s="19"/>
      <c r="Q38" s="19"/>
      <c r="R38" s="21"/>
      <c r="S38" s="22" cm="1">
        <f t="array" ref="S38">COUNTIF(P38:R38,"D")</f>
        <v>0</v>
      </c>
    </row>
    <row r="39" ht="15.35" customHeight="1">
      <c r="A39" s="18">
        <v>8</v>
      </c>
      <c r="B39" s="19"/>
      <c r="C39" s="19"/>
      <c r="D39" t="s" s="20">
        <v>16</v>
      </c>
      <c r="E39" s="19"/>
      <c r="F39" s="19"/>
      <c r="G39" s="21"/>
      <c r="H39" s="22" cm="1">
        <f t="array" ref="H39">COUNTIF(E39:G39,"C")</f>
        <v>0</v>
      </c>
      <c r="I39" s="22" cm="1">
        <f t="array" ref="I39">COUNTIF(E39:G39,"NC")</f>
        <v>0</v>
      </c>
      <c r="J39" s="22" cm="1">
        <f t="array" ref="J39">COUNTIF(E39:G39,"NA")</f>
        <v>0</v>
      </c>
      <c r="K39" s="22" cm="1">
        <f t="array" ref="K39">COUNTIF(E39:G39,"NT")</f>
        <v>0</v>
      </c>
      <c r="L39" t="str" s="23" cm="1">
        <f t="array" ref="L39">IF(I39&gt;0,"NC",IF(H39&gt;0,"C",IF(K39&gt;0,"NT","NA")))</f>
        <v>NA</v>
      </c>
      <c r="M39" s="18">
        <v>8</v>
      </c>
      <c r="N39" s="19"/>
      <c r="O39" s="19"/>
      <c r="P39" s="19"/>
      <c r="Q39" s="19"/>
      <c r="R39" s="21"/>
      <c r="S39" s="22" cm="1">
        <f t="array" ref="S39">COUNTIF(P39:R39,"D")</f>
        <v>0</v>
      </c>
    </row>
    <row r="40" ht="15.35" customHeight="1">
      <c r="A40" s="24">
        <v>8</v>
      </c>
      <c r="B40" s="25"/>
      <c r="C40" s="25"/>
      <c r="D40" t="s" s="26">
        <v>16</v>
      </c>
      <c r="E40" s="25"/>
      <c r="F40" s="25"/>
      <c r="G40" s="27"/>
      <c r="H40" s="22" cm="1">
        <f t="array" ref="H40">COUNTIF(E40:G40,"C")</f>
        <v>0</v>
      </c>
      <c r="I40" s="22" cm="1">
        <f t="array" ref="I40">COUNTIF(E40:G40,"NC")</f>
        <v>0</v>
      </c>
      <c r="J40" s="22" cm="1">
        <f t="array" ref="J40">COUNTIF(E40:G40,"NA")</f>
        <v>0</v>
      </c>
      <c r="K40" s="22" cm="1">
        <f t="array" ref="K40">COUNTIF(E40:G40,"NT")</f>
        <v>0</v>
      </c>
      <c r="L40" t="str" s="23" cm="1">
        <f t="array" ref="L40">IF(I40&gt;0,"NC",IF(H40&gt;0,"C",IF(K40&gt;0,"NT","NA")))</f>
        <v>NA</v>
      </c>
      <c r="M40" s="24">
        <v>8</v>
      </c>
      <c r="N40" s="25"/>
      <c r="O40" s="25"/>
      <c r="P40" s="25"/>
      <c r="Q40" s="25"/>
      <c r="R40" s="27"/>
      <c r="S40" s="22" cm="1">
        <f t="array" ref="S40">COUNTIF(P40:R40,"D")</f>
        <v>0</v>
      </c>
    </row>
    <row r="41" ht="15.35" customHeight="1">
      <c r="A41" s="28"/>
      <c r="B41" s="29"/>
      <c r="C41" s="29"/>
      <c r="D41" s="29"/>
      <c r="E41" s="29"/>
      <c r="F41" s="29"/>
      <c r="G41" s="30"/>
      <c r="H41" s="31" cm="1">
        <f t="array" ref="H41">SUM(H34:H40)</f>
        <v>0</v>
      </c>
      <c r="I41" s="31" cm="1">
        <f t="array" ref="I41">SUM(I34:I40)</f>
        <v>0</v>
      </c>
      <c r="J41" s="31" cm="1">
        <f t="array" ref="J41">SUM(J34:J40)</f>
        <v>0</v>
      </c>
      <c r="K41" s="31" cm="1">
        <f t="array" ref="K41">SUM(K33:K40)</f>
        <v>0</v>
      </c>
      <c r="L41" s="32"/>
      <c r="M41" s="33"/>
      <c r="N41" s="29"/>
      <c r="O41" s="29"/>
      <c r="P41" s="29"/>
      <c r="Q41" s="29"/>
      <c r="R41" s="30"/>
      <c r="S41" s="31" cm="1">
        <f t="array" ref="S41">SUM(S33:S40)</f>
        <v>0</v>
      </c>
    </row>
    <row r="42" ht="15.35" customHeight="1">
      <c r="A42" s="38">
        <v>9</v>
      </c>
      <c r="B42" s="39"/>
      <c r="C42" s="39"/>
      <c r="D42" t="s" s="40">
        <v>15</v>
      </c>
      <c r="E42" s="39"/>
      <c r="F42" s="39"/>
      <c r="G42" s="41"/>
      <c r="H42" s="22" cm="1">
        <f t="array" ref="H42">COUNTIF(E42:G42,"C")</f>
        <v>0</v>
      </c>
      <c r="I42" s="22" cm="1">
        <f t="array" ref="I42">COUNTIF(E42:G42,"NC")</f>
        <v>0</v>
      </c>
      <c r="J42" s="22" cm="1">
        <f t="array" ref="J42">COUNTIF(E42:G42,"NA")</f>
        <v>0</v>
      </c>
      <c r="K42" s="22" cm="1">
        <f t="array" ref="K42">COUNTIF(E42:G42,"NT")</f>
        <v>0</v>
      </c>
      <c r="L42" t="str" s="23" cm="1">
        <f t="array" ref="L42">IF(I42&gt;0,"NC",IF(H42&gt;0,"C",IF(K42&gt;0,"NT","NA")))</f>
        <v>NA</v>
      </c>
      <c r="M42" s="38">
        <v>9</v>
      </c>
      <c r="N42" s="39"/>
      <c r="O42" s="39"/>
      <c r="P42" s="39"/>
      <c r="Q42" s="39"/>
      <c r="R42" s="41"/>
      <c r="S42" s="22" cm="1">
        <f t="array" ref="S42">COUNTIF(P42:R42,"D")</f>
        <v>0</v>
      </c>
    </row>
    <row r="43" ht="15.35" customHeight="1">
      <c r="A43" s="24">
        <v>9</v>
      </c>
      <c r="B43" s="25"/>
      <c r="C43" s="25"/>
      <c r="D43" t="s" s="26">
        <v>15</v>
      </c>
      <c r="E43" s="25"/>
      <c r="F43" s="25"/>
      <c r="G43" s="27"/>
      <c r="H43" s="22" cm="1">
        <f t="array" ref="H43">COUNTIF(E43:G43,"C")</f>
        <v>0</v>
      </c>
      <c r="I43" s="22" cm="1">
        <f t="array" ref="I43">COUNTIF(E43:G43,"NC")</f>
        <v>0</v>
      </c>
      <c r="J43" s="22" cm="1">
        <f t="array" ref="J43">COUNTIF(E43:G43,"NA")</f>
        <v>0</v>
      </c>
      <c r="K43" s="22" cm="1">
        <f t="array" ref="K43">COUNTIF(E43:G43,"NT")</f>
        <v>0</v>
      </c>
      <c r="L43" t="str" s="23" cm="1">
        <f t="array" ref="L43">IF(I43&gt;0,"NC",IF(H43&gt;0,"C",IF(K43&gt;0,"NT","NA")))</f>
        <v>NA</v>
      </c>
      <c r="M43" s="24">
        <v>9</v>
      </c>
      <c r="N43" s="25"/>
      <c r="O43" s="25"/>
      <c r="P43" s="25"/>
      <c r="Q43" s="25"/>
      <c r="R43" s="27"/>
      <c r="S43" s="22" cm="1">
        <f t="array" ref="S43">COUNTIF(P43:R43,"D")</f>
        <v>0</v>
      </c>
    </row>
    <row r="44" ht="15.35" customHeight="1">
      <c r="A44" s="28"/>
      <c r="B44" s="29"/>
      <c r="C44" s="29"/>
      <c r="D44" s="29"/>
      <c r="E44" s="29"/>
      <c r="F44" s="29"/>
      <c r="G44" s="30"/>
      <c r="H44" s="31" cm="1">
        <f t="array" ref="H44">SUM(H42:H43)</f>
        <v>0</v>
      </c>
      <c r="I44" s="31" cm="1">
        <f t="array" ref="I44">SUM(I42:I43)</f>
        <v>0</v>
      </c>
      <c r="J44" s="31" cm="1">
        <f t="array" ref="J44">SUM(J42:J43)</f>
        <v>0</v>
      </c>
      <c r="K44" s="31" cm="1">
        <f t="array" ref="K44">SUM(K42:K43)</f>
        <v>0</v>
      </c>
      <c r="L44" s="32"/>
      <c r="M44" s="33"/>
      <c r="N44" s="29"/>
      <c r="O44" s="29"/>
      <c r="P44" s="29"/>
      <c r="Q44" s="29"/>
      <c r="R44" s="30"/>
      <c r="S44" s="31" cm="1">
        <f t="array" ref="S44">SUM(S42:S43)</f>
        <v>0</v>
      </c>
    </row>
    <row r="45" ht="15.35" customHeight="1">
      <c r="A45" s="38">
        <v>10</v>
      </c>
      <c r="B45" s="39"/>
      <c r="C45" s="39"/>
      <c r="D45" t="s" s="40">
        <v>15</v>
      </c>
      <c r="E45" s="39"/>
      <c r="F45" s="39"/>
      <c r="G45" s="41"/>
      <c r="H45" s="22" cm="1">
        <f t="array" ref="H45">COUNTIF(E45:G45,"C")</f>
        <v>0</v>
      </c>
      <c r="I45" s="22" cm="1">
        <f t="array" ref="I45">COUNTIF(E45:G45,"NC")</f>
        <v>0</v>
      </c>
      <c r="J45" s="22" cm="1">
        <f t="array" ref="J45">COUNTIF(E45:G45,"NA")</f>
        <v>0</v>
      </c>
      <c r="K45" s="22" cm="1">
        <f t="array" ref="K45">COUNTIF(E45:G45,"NT")</f>
        <v>0</v>
      </c>
      <c r="L45" t="str" s="23" cm="1">
        <f t="array" ref="L45">IF(I45&gt;0,"NC",IF(H45&gt;0,"C",IF(K45&gt;0,"NT","NA")))</f>
        <v>NA</v>
      </c>
      <c r="M45" s="38">
        <v>10</v>
      </c>
      <c r="N45" s="39"/>
      <c r="O45" s="39"/>
      <c r="P45" s="39"/>
      <c r="Q45" s="39"/>
      <c r="R45" s="41"/>
      <c r="S45" s="22" cm="1">
        <f t="array" ref="S45">COUNTIF(P45:R45,"D")</f>
        <v>0</v>
      </c>
    </row>
    <row r="46" ht="15.35" customHeight="1">
      <c r="A46" s="18">
        <v>10</v>
      </c>
      <c r="B46" s="19"/>
      <c r="C46" s="19"/>
      <c r="D46" t="s" s="20">
        <v>15</v>
      </c>
      <c r="E46" s="19"/>
      <c r="F46" s="19"/>
      <c r="G46" s="21"/>
      <c r="H46" s="22" cm="1">
        <f t="array" ref="H46">COUNTIF(E46:G46,"C")</f>
        <v>0</v>
      </c>
      <c r="I46" s="22" cm="1">
        <f t="array" ref="I46">COUNTIF(E46:G46,"NC")</f>
        <v>0</v>
      </c>
      <c r="J46" s="22" cm="1">
        <f t="array" ref="J46">COUNTIF(E46:G46,"NA")</f>
        <v>0</v>
      </c>
      <c r="K46" s="22" cm="1">
        <f t="array" ref="K46">COUNTIF(E46:G46,"NT")</f>
        <v>0</v>
      </c>
      <c r="L46" t="str" s="23" cm="1">
        <f t="array" ref="L46">IF(I46&gt;0,"NC",IF(H46&gt;0,"C",IF(K46&gt;0,"NT","NA")))</f>
        <v>NA</v>
      </c>
      <c r="M46" s="18">
        <v>10</v>
      </c>
      <c r="N46" s="19"/>
      <c r="O46" s="19"/>
      <c r="P46" s="19"/>
      <c r="Q46" s="19"/>
      <c r="R46" s="21"/>
      <c r="S46" s="22" cm="1">
        <f t="array" ref="S46">COUNTIF(P46:R46,"D")</f>
        <v>0</v>
      </c>
    </row>
    <row r="47" ht="15.35" customHeight="1">
      <c r="A47" s="18">
        <v>10</v>
      </c>
      <c r="B47" s="19"/>
      <c r="C47" s="19"/>
      <c r="D47" t="s" s="20">
        <v>15</v>
      </c>
      <c r="E47" s="19"/>
      <c r="F47" s="19"/>
      <c r="G47" s="21"/>
      <c r="H47" s="22" cm="1">
        <f t="array" ref="H47">COUNTIF(E47:G47,"C")</f>
        <v>0</v>
      </c>
      <c r="I47" s="22" cm="1">
        <f t="array" ref="I47">COUNTIF(E47:G47,"NC")</f>
        <v>0</v>
      </c>
      <c r="J47" s="22" cm="1">
        <f t="array" ref="J47">COUNTIF(E47:G47,"NA")</f>
        <v>0</v>
      </c>
      <c r="K47" s="22" cm="1">
        <f t="array" ref="K47">COUNTIF(E47:G47,"NT")</f>
        <v>0</v>
      </c>
      <c r="L47" t="str" s="23" cm="1">
        <f t="array" ref="L47">IF(I47&gt;0,"NC",IF(H47&gt;0,"C",IF(K47&gt;0,"NT","NA")))</f>
        <v>NA</v>
      </c>
      <c r="M47" s="18">
        <v>10</v>
      </c>
      <c r="N47" s="19"/>
      <c r="O47" s="19"/>
      <c r="P47" s="19"/>
      <c r="Q47" s="19"/>
      <c r="R47" s="21"/>
      <c r="S47" s="22" cm="1">
        <f t="array" ref="S47">COUNTIF(P47:R47,"D")</f>
        <v>0</v>
      </c>
    </row>
    <row r="48" ht="15.35" customHeight="1">
      <c r="A48" s="18">
        <v>10</v>
      </c>
      <c r="B48" s="19"/>
      <c r="C48" s="19"/>
      <c r="D48" t="s" s="20">
        <v>15</v>
      </c>
      <c r="E48" s="19"/>
      <c r="F48" s="19"/>
      <c r="G48" s="21"/>
      <c r="H48" s="22" cm="1">
        <f t="array" ref="H48">COUNTIF(E48:G48,"C")</f>
        <v>0</v>
      </c>
      <c r="I48" s="22" cm="1">
        <f t="array" ref="I48">COUNTIF(E48:G48,"NC")</f>
        <v>0</v>
      </c>
      <c r="J48" s="22" cm="1">
        <f t="array" ref="J48">COUNTIF(E48:G48,"NA")</f>
        <v>0</v>
      </c>
      <c r="K48" s="22" cm="1">
        <f t="array" ref="K48">COUNTIF(E48:G48,"NT")</f>
        <v>0</v>
      </c>
      <c r="L48" t="str" s="23" cm="1">
        <f t="array" ref="L48">IF(I48&gt;0,"NC",IF(H48&gt;0,"C",IF(K48&gt;0,"NT","NA")))</f>
        <v>NA</v>
      </c>
      <c r="M48" s="18">
        <v>10</v>
      </c>
      <c r="N48" s="19"/>
      <c r="O48" s="19"/>
      <c r="P48" s="19"/>
      <c r="Q48" s="19"/>
      <c r="R48" s="21"/>
      <c r="S48" s="22" cm="1">
        <f t="array" ref="S48">COUNTIF(P48:R48,"D")</f>
        <v>0</v>
      </c>
    </row>
    <row r="49" ht="15.35" customHeight="1">
      <c r="A49" s="24">
        <v>10</v>
      </c>
      <c r="B49" s="25"/>
      <c r="C49" s="25"/>
      <c r="D49" t="s" s="26">
        <v>15</v>
      </c>
      <c r="E49" s="25"/>
      <c r="F49" s="25"/>
      <c r="G49" s="27"/>
      <c r="H49" s="22" cm="1">
        <f t="array" ref="H49">COUNTIF(E49:G49,"C")</f>
        <v>0</v>
      </c>
      <c r="I49" s="22" cm="1">
        <f t="array" ref="I49">COUNTIF(E49:G49,"NC")</f>
        <v>0</v>
      </c>
      <c r="J49" s="22" cm="1">
        <f t="array" ref="J49">COUNTIF(E49:G49,"NA")</f>
        <v>0</v>
      </c>
      <c r="K49" s="22" cm="1">
        <f t="array" ref="K49">COUNTIF(E49:G49,"NT")</f>
        <v>0</v>
      </c>
      <c r="L49" t="str" s="23" cm="1">
        <f t="array" ref="L49">IF(I49&gt;0,"NC",IF(H49&gt;0,"C",IF(K49&gt;0,"NT","NA")))</f>
        <v>NA</v>
      </c>
      <c r="M49" s="24">
        <v>10</v>
      </c>
      <c r="N49" s="25"/>
      <c r="O49" s="25"/>
      <c r="P49" s="25"/>
      <c r="Q49" s="25"/>
      <c r="R49" s="27"/>
      <c r="S49" s="22" cm="1">
        <f t="array" ref="S49">COUNTIF(P49:R49,"D")</f>
        <v>0</v>
      </c>
    </row>
    <row r="50" ht="15.35" customHeight="1">
      <c r="A50" s="28"/>
      <c r="B50" s="29"/>
      <c r="C50" s="29"/>
      <c r="D50" s="29"/>
      <c r="E50" s="29"/>
      <c r="F50" s="29"/>
      <c r="G50" s="30"/>
      <c r="H50" s="31" cm="1">
        <f t="array" ref="H50">SUM(H45:H49)</f>
        <v>0</v>
      </c>
      <c r="I50" s="31" cm="1">
        <f t="array" ref="I50">SUM(I45:I49)</f>
        <v>0</v>
      </c>
      <c r="J50" s="31" cm="1">
        <f t="array" ref="J50">SUM(J45:J49)</f>
        <v>0</v>
      </c>
      <c r="K50" s="31" cm="1">
        <f t="array" ref="K50">SUM(K45:K49)</f>
        <v>0</v>
      </c>
      <c r="L50" s="32"/>
      <c r="M50" s="33"/>
      <c r="N50" s="29"/>
      <c r="O50" s="29"/>
      <c r="P50" s="29"/>
      <c r="Q50" s="29"/>
      <c r="R50" s="30"/>
      <c r="S50" s="31" cm="1">
        <f t="array" ref="S50">SUM(S45:S49)</f>
        <v>0</v>
      </c>
    </row>
    <row r="51" ht="15.35" customHeight="1">
      <c r="A51" s="38">
        <v>11</v>
      </c>
      <c r="B51" s="39"/>
      <c r="C51" s="39"/>
      <c r="D51" t="s" s="40">
        <v>15</v>
      </c>
      <c r="E51" s="39"/>
      <c r="F51" s="39"/>
      <c r="G51" s="41"/>
      <c r="H51" s="22" cm="1">
        <f t="array" ref="H51">COUNTIF(E51:G51,"C")</f>
        <v>0</v>
      </c>
      <c r="I51" s="22" cm="1">
        <f t="array" ref="I51">COUNTIF(E51:G51,"NC")</f>
        <v>0</v>
      </c>
      <c r="J51" s="22" cm="1">
        <f t="array" ref="J51">COUNTIF(E51:G51,"NA")</f>
        <v>0</v>
      </c>
      <c r="K51" s="22" cm="1">
        <f t="array" ref="K51">COUNTIF(E51:G51,"NT")</f>
        <v>0</v>
      </c>
      <c r="L51" t="str" s="23" cm="1">
        <f t="array" ref="L51">IF(I51&gt;0,"NC",IF(H51&gt;0,"C",IF(K51&gt;0,"NT","NA")))</f>
        <v>NA</v>
      </c>
      <c r="M51" s="38">
        <v>11</v>
      </c>
      <c r="N51" s="39"/>
      <c r="O51" s="39"/>
      <c r="P51" s="39"/>
      <c r="Q51" s="39"/>
      <c r="R51" s="41"/>
      <c r="S51" s="22" cm="1">
        <f t="array" ref="S51">COUNTIF(P51:R51,"D")</f>
        <v>0</v>
      </c>
    </row>
    <row r="52" ht="15.35" customHeight="1">
      <c r="A52" s="18">
        <v>11</v>
      </c>
      <c r="B52" s="19"/>
      <c r="C52" s="19"/>
      <c r="D52" t="s" s="20">
        <v>15</v>
      </c>
      <c r="E52" s="19"/>
      <c r="F52" s="19"/>
      <c r="G52" s="21"/>
      <c r="H52" s="22" cm="1">
        <f t="array" ref="H52">COUNTIF(E52:G52,"C")</f>
        <v>0</v>
      </c>
      <c r="I52" s="22" cm="1">
        <f t="array" ref="I52">COUNTIF(E52:G52,"NC")</f>
        <v>0</v>
      </c>
      <c r="J52" s="22" cm="1">
        <f t="array" ref="J52">COUNTIF(E52:G52,"NA")</f>
        <v>0</v>
      </c>
      <c r="K52" s="22" cm="1">
        <f t="array" ref="K52">COUNTIF(E52:G52,"NT")</f>
        <v>0</v>
      </c>
      <c r="L52" t="str" s="23" cm="1">
        <f t="array" ref="L52">IF(I52&gt;0,"NC",IF(H52&gt;0,"C",IF(K52&gt;0,"NT","NA")))</f>
        <v>NA</v>
      </c>
      <c r="M52" s="18">
        <v>11</v>
      </c>
      <c r="N52" s="19"/>
      <c r="O52" s="19"/>
      <c r="P52" s="19"/>
      <c r="Q52" s="19"/>
      <c r="R52" s="21"/>
      <c r="S52" s="22" cm="1">
        <f t="array" ref="S52">COUNTIF(P52:R52,"D")</f>
        <v>0</v>
      </c>
    </row>
    <row r="53" ht="15.35" customHeight="1">
      <c r="A53" s="18">
        <v>11</v>
      </c>
      <c r="B53" s="19"/>
      <c r="C53" s="19"/>
      <c r="D53" t="s" s="20">
        <v>15</v>
      </c>
      <c r="E53" s="19"/>
      <c r="F53" s="19"/>
      <c r="G53" s="21"/>
      <c r="H53" s="22" cm="1">
        <f t="array" ref="H53">COUNTIF(E53:G53,"C")</f>
        <v>0</v>
      </c>
      <c r="I53" s="22" cm="1">
        <f t="array" ref="I53">COUNTIF(E53:G53,"NC")</f>
        <v>0</v>
      </c>
      <c r="J53" s="22" cm="1">
        <f t="array" ref="J53">COUNTIF(E53:G53,"NA")</f>
        <v>0</v>
      </c>
      <c r="K53" s="22" cm="1">
        <f t="array" ref="K53">COUNTIF(E53:G53,"NT")</f>
        <v>0</v>
      </c>
      <c r="L53" t="str" s="23" cm="1">
        <f t="array" ref="L53">IF(I53&gt;0,"NC",IF(H53&gt;0,"C",IF(K53&gt;0,"NT","NA")))</f>
        <v>NA</v>
      </c>
      <c r="M53" s="18">
        <v>11</v>
      </c>
      <c r="N53" s="19"/>
      <c r="O53" s="19"/>
      <c r="P53" s="19"/>
      <c r="Q53" s="19"/>
      <c r="R53" s="21"/>
      <c r="S53" s="22" cm="1">
        <f t="array" ref="S53">COUNTIF(P53:R53,"D")</f>
        <v>0</v>
      </c>
    </row>
    <row r="54" ht="15.35" customHeight="1">
      <c r="A54" s="18">
        <v>11</v>
      </c>
      <c r="B54" s="19"/>
      <c r="C54" s="19"/>
      <c r="D54" t="s" s="20">
        <v>15</v>
      </c>
      <c r="E54" s="19"/>
      <c r="F54" s="19"/>
      <c r="G54" s="21"/>
      <c r="H54" s="22" cm="1">
        <f t="array" ref="H54">COUNTIF(E54:G54,"C")</f>
        <v>0</v>
      </c>
      <c r="I54" s="22" cm="1">
        <f t="array" ref="I54">COUNTIF(E54:G54,"NC")</f>
        <v>0</v>
      </c>
      <c r="J54" s="22" cm="1">
        <f t="array" ref="J54">COUNTIF(E54:G54,"NA")</f>
        <v>0</v>
      </c>
      <c r="K54" s="22" cm="1">
        <f t="array" ref="K54">COUNTIF(E54:G54,"NT")</f>
        <v>0</v>
      </c>
      <c r="L54" t="str" s="23" cm="1">
        <f t="array" ref="L54">IF(I54&gt;0,"NC",IF(H54&gt;0,"C",IF(K54&gt;0,"NT","NA")))</f>
        <v>NA</v>
      </c>
      <c r="M54" s="18">
        <v>11</v>
      </c>
      <c r="N54" s="19"/>
      <c r="O54" s="19"/>
      <c r="P54" s="19"/>
      <c r="Q54" s="19"/>
      <c r="R54" s="21"/>
      <c r="S54" s="22" cm="1">
        <f t="array" ref="S54">COUNTIF(P54:R54,"D")</f>
        <v>0</v>
      </c>
    </row>
    <row r="55" ht="15.35" customHeight="1">
      <c r="A55" s="18">
        <v>11</v>
      </c>
      <c r="B55" s="19"/>
      <c r="C55" s="19"/>
      <c r="D55" t="s" s="20">
        <v>15</v>
      </c>
      <c r="E55" s="19"/>
      <c r="F55" s="19"/>
      <c r="G55" s="21"/>
      <c r="H55" s="22" cm="1">
        <f t="array" ref="H55">COUNTIF(E55:G55,"C")</f>
        <v>0</v>
      </c>
      <c r="I55" s="22" cm="1">
        <f t="array" ref="I55">COUNTIF(E55:G55,"NC")</f>
        <v>0</v>
      </c>
      <c r="J55" s="22" cm="1">
        <f t="array" ref="J55">COUNTIF(E55:G55,"NA")</f>
        <v>0</v>
      </c>
      <c r="K55" s="22" cm="1">
        <f t="array" ref="K55">COUNTIF(E55:G55,"NT")</f>
        <v>0</v>
      </c>
      <c r="L55" t="str" s="23" cm="1">
        <f t="array" ref="L55">IF(I55&gt;0,"NC",IF(H55&gt;0,"C",IF(K55&gt;0,"NT","NA")))</f>
        <v>NA</v>
      </c>
      <c r="M55" s="18">
        <v>11</v>
      </c>
      <c r="N55" s="19"/>
      <c r="O55" s="19"/>
      <c r="P55" s="19"/>
      <c r="Q55" s="19"/>
      <c r="R55" s="21"/>
      <c r="S55" s="22" cm="1">
        <f t="array" ref="S55">COUNTIF(P55:R55,"D")</f>
        <v>0</v>
      </c>
    </row>
    <row r="56" ht="15.35" customHeight="1">
      <c r="A56" s="18">
        <v>11</v>
      </c>
      <c r="B56" s="19"/>
      <c r="C56" s="19"/>
      <c r="D56" t="s" s="20">
        <v>15</v>
      </c>
      <c r="E56" s="19"/>
      <c r="F56" s="19"/>
      <c r="G56" s="21"/>
      <c r="H56" s="22" cm="1">
        <f t="array" ref="H56">COUNTIF(E56:G56,"C")</f>
        <v>0</v>
      </c>
      <c r="I56" s="22" cm="1">
        <f t="array" ref="I56">COUNTIF(E56:G56,"NC")</f>
        <v>0</v>
      </c>
      <c r="J56" s="22" cm="1">
        <f t="array" ref="J56">COUNTIF(E56:G56,"NA")</f>
        <v>0</v>
      </c>
      <c r="K56" s="22" cm="1">
        <f t="array" ref="K56">COUNTIF(E56:G56,"NT")</f>
        <v>0</v>
      </c>
      <c r="L56" t="str" s="23" cm="1">
        <f t="array" ref="L56">IF(I56&gt;0,"NC",IF(H56&gt;0,"C",IF(K56&gt;0,"NT","NA")))</f>
        <v>NA</v>
      </c>
      <c r="M56" s="18">
        <v>11</v>
      </c>
      <c r="N56" s="19"/>
      <c r="O56" s="19"/>
      <c r="P56" s="19"/>
      <c r="Q56" s="19"/>
      <c r="R56" s="21"/>
      <c r="S56" s="22" cm="1">
        <f t="array" ref="S56">COUNTIF(P56:R56,"D")</f>
        <v>0</v>
      </c>
    </row>
    <row r="57" ht="15.35" customHeight="1">
      <c r="A57" s="24">
        <v>11</v>
      </c>
      <c r="B57" s="25"/>
      <c r="C57" s="25"/>
      <c r="D57" t="s" s="26">
        <v>15</v>
      </c>
      <c r="E57" s="25"/>
      <c r="F57" s="25"/>
      <c r="G57" s="27"/>
      <c r="H57" s="22" cm="1">
        <f t="array" ref="H57">COUNTIF(E57:G57,"C")</f>
        <v>0</v>
      </c>
      <c r="I57" s="22" cm="1">
        <f t="array" ref="I57">COUNTIF(E57:G57,"NC")</f>
        <v>0</v>
      </c>
      <c r="J57" s="22" cm="1">
        <f t="array" ref="J57">COUNTIF(E57:G57,"NA")</f>
        <v>0</v>
      </c>
      <c r="K57" s="22" cm="1">
        <f t="array" ref="K57">COUNTIF(E57:G57,"NT")</f>
        <v>0</v>
      </c>
      <c r="L57" t="str" s="23" cm="1">
        <f t="array" ref="L57">IF(I57&gt;0,"NC",IF(H57&gt;0,"C",IF(K57&gt;0,"NT","NA")))</f>
        <v>NA</v>
      </c>
      <c r="M57" s="24">
        <v>11</v>
      </c>
      <c r="N57" s="25"/>
      <c r="O57" s="25"/>
      <c r="P57" s="25"/>
      <c r="Q57" s="25"/>
      <c r="R57" s="27"/>
      <c r="S57" s="22" cm="1">
        <f t="array" ref="S57">COUNTIF(P57:R57,"D")</f>
        <v>0</v>
      </c>
    </row>
    <row r="58" ht="15.35" customHeight="1">
      <c r="A58" s="28"/>
      <c r="B58" s="29"/>
      <c r="C58" s="29"/>
      <c r="D58" s="29"/>
      <c r="E58" s="29"/>
      <c r="F58" s="29"/>
      <c r="G58" s="30"/>
      <c r="H58" s="31" cm="1">
        <f t="array" ref="H58">SUM(H51:H57)</f>
        <v>0</v>
      </c>
      <c r="I58" s="31" cm="1">
        <f t="array" ref="I58">SUM(I51:I57)</f>
        <v>0</v>
      </c>
      <c r="J58" s="31" cm="1">
        <f t="array" ref="J58">SUM(J51:J57)</f>
        <v>0</v>
      </c>
      <c r="K58" s="31" cm="1">
        <f t="array" ref="K58">SUM(K51:K57)</f>
        <v>0</v>
      </c>
      <c r="L58" s="32"/>
      <c r="M58" s="33"/>
      <c r="N58" s="29"/>
      <c r="O58" s="29"/>
      <c r="P58" s="29"/>
      <c r="Q58" s="29"/>
      <c r="R58" s="30"/>
      <c r="S58" s="31" cm="1">
        <f t="array" ref="S58">SUM(S51:S57)</f>
        <v>0</v>
      </c>
    </row>
    <row r="59" ht="15.35" customHeight="1">
      <c r="A59" s="38">
        <v>12</v>
      </c>
      <c r="B59" s="39"/>
      <c r="C59" s="39"/>
      <c r="D59" t="s" s="40">
        <v>15</v>
      </c>
      <c r="E59" s="39"/>
      <c r="F59" s="39"/>
      <c r="G59" s="41"/>
      <c r="H59" s="22" cm="1">
        <f t="array" ref="H59">COUNTIF(E59:G59,"C")</f>
        <v>0</v>
      </c>
      <c r="I59" s="22" cm="1">
        <f t="array" ref="I59">COUNTIF(E59:G59,"NC")</f>
        <v>0</v>
      </c>
      <c r="J59" s="22" cm="1">
        <f t="array" ref="J59">COUNTIF(E59:G59,"NA")</f>
        <v>0</v>
      </c>
      <c r="K59" s="22" cm="1">
        <f t="array" ref="K59">COUNTIF(E59:G59,"NT")</f>
        <v>0</v>
      </c>
      <c r="L59" t="str" s="23" cm="1">
        <f t="array" ref="L59">IF(I59&gt;0,"NC",IF(H59&gt;0,"C",IF(K59&gt;0,"NT","NA")))</f>
        <v>NA</v>
      </c>
      <c r="M59" s="38">
        <v>12</v>
      </c>
      <c r="N59" s="39"/>
      <c r="O59" s="39"/>
      <c r="P59" s="39"/>
      <c r="Q59" s="39"/>
      <c r="R59" s="41"/>
      <c r="S59" s="22" cm="1">
        <f t="array" ref="S59">COUNTIF(P59:R59,"D")</f>
        <v>0</v>
      </c>
    </row>
    <row r="60" ht="15.35" customHeight="1">
      <c r="A60" s="18">
        <v>12</v>
      </c>
      <c r="B60" s="19"/>
      <c r="C60" s="19"/>
      <c r="D60" t="s" s="20">
        <v>15</v>
      </c>
      <c r="E60" s="19"/>
      <c r="F60" s="19"/>
      <c r="G60" s="21"/>
      <c r="H60" s="22" cm="1">
        <f t="array" ref="H60">COUNTIF(E60:G60,"C")</f>
        <v>0</v>
      </c>
      <c r="I60" s="22" cm="1">
        <f t="array" ref="I60">COUNTIF(E60:G60,"NC")</f>
        <v>0</v>
      </c>
      <c r="J60" s="22" cm="1">
        <f t="array" ref="J60">COUNTIF(E60:G60,"NA")</f>
        <v>0</v>
      </c>
      <c r="K60" s="22" cm="1">
        <f t="array" ref="K60">COUNTIF(E60:G60,"NT")</f>
        <v>0</v>
      </c>
      <c r="L60" t="str" s="23" cm="1">
        <f t="array" ref="L60">IF(I60&gt;0,"NC",IF(H60&gt;0,"C",IF(K60&gt;0,"NT","NA")))</f>
        <v>NA</v>
      </c>
      <c r="M60" s="18">
        <v>12</v>
      </c>
      <c r="N60" s="19"/>
      <c r="O60" s="19"/>
      <c r="P60" s="19"/>
      <c r="Q60" s="19"/>
      <c r="R60" s="21"/>
      <c r="S60" s="22" cm="1">
        <f t="array" ref="S60">COUNTIF(P60:R60,"D")</f>
        <v>0</v>
      </c>
    </row>
    <row r="61" ht="15.35" customHeight="1">
      <c r="A61" s="18">
        <v>12</v>
      </c>
      <c r="B61" s="19"/>
      <c r="C61" s="19"/>
      <c r="D61" t="s" s="20">
        <v>15</v>
      </c>
      <c r="E61" s="19"/>
      <c r="F61" s="19"/>
      <c r="G61" s="21"/>
      <c r="H61" s="22" cm="1">
        <f t="array" ref="H61">COUNTIF(E61:G61,"C")</f>
        <v>0</v>
      </c>
      <c r="I61" s="22" cm="1">
        <f t="array" ref="I61">COUNTIF(E61:G61,"NC")</f>
        <v>0</v>
      </c>
      <c r="J61" s="22" cm="1">
        <f t="array" ref="J61">COUNTIF(E61:G61,"NA")</f>
        <v>0</v>
      </c>
      <c r="K61" s="22" cm="1">
        <f t="array" ref="K61">COUNTIF(E61:G61,"NT")</f>
        <v>0</v>
      </c>
      <c r="L61" t="str" s="23" cm="1">
        <f t="array" ref="L61">IF(I61&gt;0,"NC",IF(H61&gt;0,"C",IF(K61&gt;0,"NT","NA")))</f>
        <v>NA</v>
      </c>
      <c r="M61" s="18">
        <v>12</v>
      </c>
      <c r="N61" s="19"/>
      <c r="O61" s="19"/>
      <c r="P61" s="19"/>
      <c r="Q61" s="19"/>
      <c r="R61" s="21"/>
      <c r="S61" s="22" cm="1">
        <f t="array" ref="S61">COUNTIF(P61:R61,"D")</f>
        <v>0</v>
      </c>
    </row>
    <row r="62" ht="15.35" customHeight="1">
      <c r="A62" s="18">
        <v>12</v>
      </c>
      <c r="B62" s="19"/>
      <c r="C62" s="19"/>
      <c r="D62" t="s" s="20">
        <v>15</v>
      </c>
      <c r="E62" s="19"/>
      <c r="F62" s="19"/>
      <c r="G62" s="21"/>
      <c r="H62" s="22" cm="1">
        <f t="array" ref="H62">COUNTIF(E62:G62,"C")</f>
        <v>0</v>
      </c>
      <c r="I62" s="22" cm="1">
        <f t="array" ref="I62">COUNTIF(E62:G62,"NC")</f>
        <v>0</v>
      </c>
      <c r="J62" s="22" cm="1">
        <f t="array" ref="J62">COUNTIF(E62:G62,"NA")</f>
        <v>0</v>
      </c>
      <c r="K62" s="22" cm="1">
        <f t="array" ref="K62">COUNTIF(E62:G62,"NT")</f>
        <v>0</v>
      </c>
      <c r="L62" t="str" s="23" cm="1">
        <f t="array" ref="L62">IF(I62&gt;0,"NC",IF(H62&gt;0,"C",IF(K62&gt;0,"NT","NA")))</f>
        <v>NA</v>
      </c>
      <c r="M62" s="18">
        <v>12</v>
      </c>
      <c r="N62" s="19"/>
      <c r="O62" s="19"/>
      <c r="P62" s="19"/>
      <c r="Q62" s="19"/>
      <c r="R62" s="21"/>
      <c r="S62" s="22" cm="1">
        <f t="array" ref="S62">COUNTIF(P62:R62,"D")</f>
        <v>0</v>
      </c>
    </row>
    <row r="63" ht="15.35" customHeight="1">
      <c r="A63" s="24">
        <v>12</v>
      </c>
      <c r="B63" s="25"/>
      <c r="C63" s="25"/>
      <c r="D63" t="s" s="26">
        <v>16</v>
      </c>
      <c r="E63" s="25"/>
      <c r="F63" s="25"/>
      <c r="G63" s="27"/>
      <c r="H63" s="22" cm="1">
        <f t="array" ref="H63">COUNTIF(E63:G63,"C")</f>
        <v>0</v>
      </c>
      <c r="I63" s="22" cm="1">
        <f t="array" ref="I63">COUNTIF(E63:G63,"NC")</f>
        <v>0</v>
      </c>
      <c r="J63" s="22" cm="1">
        <f t="array" ref="J63">COUNTIF(E63:G63,"NA")</f>
        <v>0</v>
      </c>
      <c r="K63" s="22" cm="1">
        <f t="array" ref="K63">COUNTIF(E63:G63,"NT")</f>
        <v>0</v>
      </c>
      <c r="L63" t="str" s="23" cm="1">
        <f t="array" ref="L63">IF(I63&gt;0,"NC",IF(H63&gt;0,"C",IF(K63&gt;0,"NT","NA")))</f>
        <v>NA</v>
      </c>
      <c r="M63" s="24">
        <v>12</v>
      </c>
      <c r="N63" s="25"/>
      <c r="O63" s="25"/>
      <c r="P63" s="25"/>
      <c r="Q63" s="25"/>
      <c r="R63" s="27"/>
      <c r="S63" s="22" cm="1">
        <f t="array" ref="S63">COUNTIF(P63:R63,"D")</f>
        <v>0</v>
      </c>
    </row>
    <row r="64" ht="15.35" customHeight="1">
      <c r="A64" s="28"/>
      <c r="B64" s="29"/>
      <c r="C64" s="29"/>
      <c r="D64" s="29"/>
      <c r="E64" s="29"/>
      <c r="F64" s="29"/>
      <c r="G64" s="30"/>
      <c r="H64" s="31" cm="1">
        <f t="array" ref="H64">SUM(H59:H63)</f>
        <v>0</v>
      </c>
      <c r="I64" s="31" cm="1">
        <f t="array" ref="I64">SUM(I59:I63)</f>
        <v>0</v>
      </c>
      <c r="J64" s="31" cm="1">
        <f t="array" ref="J64">SUM(J59:J63)</f>
        <v>0</v>
      </c>
      <c r="K64" s="31" cm="1">
        <f t="array" ref="K64">SUM(K59:K63)</f>
        <v>0</v>
      </c>
      <c r="L64" s="32"/>
      <c r="M64" s="33"/>
      <c r="N64" s="29"/>
      <c r="O64" s="29"/>
      <c r="P64" s="29"/>
      <c r="Q64" s="29"/>
      <c r="R64" s="30"/>
      <c r="S64" s="31" cm="1">
        <f t="array" ref="S64">SUM(S59:S63)</f>
        <v>0</v>
      </c>
    </row>
    <row r="65" ht="15.35" customHeight="1">
      <c r="A65" s="38">
        <v>13</v>
      </c>
      <c r="B65" s="39"/>
      <c r="C65" s="39"/>
      <c r="D65" t="s" s="40">
        <v>15</v>
      </c>
      <c r="E65" s="39"/>
      <c r="F65" s="39"/>
      <c r="G65" s="41"/>
      <c r="H65" s="22" cm="1">
        <f t="array" ref="H65">COUNTIF(E65:G65,"C")</f>
        <v>0</v>
      </c>
      <c r="I65" s="22" cm="1">
        <f t="array" ref="I65">COUNTIF(E65:G65,"NC")</f>
        <v>0</v>
      </c>
      <c r="J65" s="22" cm="1">
        <f t="array" ref="J65">COUNTIF(E65:G65,"NA")</f>
        <v>0</v>
      </c>
      <c r="K65" s="22" cm="1">
        <f t="array" ref="K65">COUNTIF(E65:G65,"NT")</f>
        <v>0</v>
      </c>
      <c r="L65" t="str" s="23" cm="1">
        <f t="array" ref="L65">IF(I65&gt;0,"NC",IF(H65&gt;0,"C",IF(K65&gt;0,"NT","NA")))</f>
        <v>NA</v>
      </c>
      <c r="M65" s="38">
        <v>13</v>
      </c>
      <c r="N65" s="39"/>
      <c r="O65" s="39"/>
      <c r="P65" s="39"/>
      <c r="Q65" s="39"/>
      <c r="R65" s="41"/>
      <c r="S65" s="22" cm="1">
        <f t="array" ref="S65">COUNTIF(P65:R65,"D")</f>
        <v>0</v>
      </c>
    </row>
    <row r="66" ht="15.35" customHeight="1">
      <c r="A66" s="18">
        <v>13</v>
      </c>
      <c r="B66" s="19"/>
      <c r="C66" s="19"/>
      <c r="D66" t="s" s="20">
        <v>15</v>
      </c>
      <c r="E66" s="19"/>
      <c r="F66" s="19"/>
      <c r="G66" s="21"/>
      <c r="H66" s="22" cm="1">
        <f t="array" ref="H66">COUNTIF(E66:G66,"C")</f>
        <v>0</v>
      </c>
      <c r="I66" s="22" cm="1">
        <f t="array" ref="I66">COUNTIF(E66:G66,"NC")</f>
        <v>0</v>
      </c>
      <c r="J66" s="22" cm="1">
        <f t="array" ref="J66">COUNTIF(E66:G66,"NA")</f>
        <v>0</v>
      </c>
      <c r="K66" s="22" cm="1">
        <f t="array" ref="K66">COUNTIF(E66:G66,"NT")</f>
        <v>0</v>
      </c>
      <c r="L66" t="str" s="23" cm="1">
        <f t="array" ref="L66">IF(I66&gt;0,"NC",IF(H66&gt;0,"C",IF(K66&gt;0,"NT","NA")))</f>
        <v>NA</v>
      </c>
      <c r="M66" s="18">
        <v>13</v>
      </c>
      <c r="N66" s="19"/>
      <c r="O66" s="19"/>
      <c r="P66" s="19"/>
      <c r="Q66" s="19"/>
      <c r="R66" s="21"/>
      <c r="S66" s="22" cm="1">
        <f t="array" ref="S66">COUNTIF(P66:R66,"D")</f>
        <v>0</v>
      </c>
    </row>
    <row r="67" ht="15.35" customHeight="1">
      <c r="A67" s="24">
        <v>13</v>
      </c>
      <c r="B67" s="25"/>
      <c r="C67" s="25"/>
      <c r="D67" t="s" s="26">
        <v>15</v>
      </c>
      <c r="E67" s="25"/>
      <c r="F67" s="25"/>
      <c r="G67" s="27"/>
      <c r="H67" s="22" cm="1">
        <f t="array" ref="H67">COUNTIF(E67:G67,"C")</f>
        <v>0</v>
      </c>
      <c r="I67" s="22" cm="1">
        <f t="array" ref="I67">COUNTIF(E67:G67,"NC")</f>
        <v>0</v>
      </c>
      <c r="J67" s="22" cm="1">
        <f t="array" ref="J67">COUNTIF(E67:G67,"NA")</f>
        <v>0</v>
      </c>
      <c r="K67" s="22" cm="1">
        <f t="array" ref="K67">COUNTIF(E67:G67,"NT")</f>
        <v>0</v>
      </c>
      <c r="L67" t="str" s="23" cm="1">
        <f t="array" ref="L67">IF(I67&gt;0,"NC",IF(H67&gt;0,"C",IF(K67&gt;0,"NT","NA")))</f>
        <v>NA</v>
      </c>
      <c r="M67" s="24">
        <v>13</v>
      </c>
      <c r="N67" s="25"/>
      <c r="O67" s="25"/>
      <c r="P67" s="25"/>
      <c r="Q67" s="25"/>
      <c r="R67" s="27"/>
      <c r="S67" s="22" cm="1">
        <f t="array" ref="S67">COUNTIF(P67:R67,"D")</f>
        <v>0</v>
      </c>
    </row>
    <row r="68" ht="15.35" customHeight="1">
      <c r="A68" s="28"/>
      <c r="B68" s="29"/>
      <c r="C68" s="29"/>
      <c r="D68" s="29"/>
      <c r="E68" s="29"/>
      <c r="F68" s="29"/>
      <c r="G68" s="30"/>
      <c r="H68" s="31" cm="1">
        <f t="array" ref="H68">SUM(H65:H67)</f>
        <v>0</v>
      </c>
      <c r="I68" s="31" cm="1">
        <f t="array" ref="I68">SUM(I65:I67)</f>
        <v>0</v>
      </c>
      <c r="J68" s="31" cm="1">
        <f t="array" ref="J68">SUM(J65:J67)</f>
        <v>0</v>
      </c>
      <c r="K68" s="31" cm="1">
        <f t="array" ref="K68">SUM(K65:K67)</f>
        <v>0</v>
      </c>
      <c r="L68" s="32"/>
      <c r="M68" s="33"/>
      <c r="N68" s="29"/>
      <c r="O68" s="29"/>
      <c r="P68" s="29"/>
      <c r="Q68" s="29"/>
      <c r="R68" s="30"/>
      <c r="S68" s="31" cm="1">
        <f t="array" ref="S68">SUM(S65:S67)</f>
        <v>0</v>
      </c>
    </row>
    <row r="69" ht="15.35" customHeight="1">
      <c r="A69" s="47"/>
      <c r="B69" s="48"/>
      <c r="C69" t="s" s="40">
        <v>17</v>
      </c>
      <c r="D69" s="48"/>
      <c r="E69" s="45" cm="1">
        <f t="array" ref="E69">SUM(COUNTIF(E3:E9,"C"),COUNTIF(E11:E11,"C"),COUNTIF(E13:E14,"C"),COUNTIF(E16:E23,"C"),COUNTIF(E25:E26,"C"),COUNTIF(E28:E29,"C"),COUNTIF(E31:E31,"C"),COUNTIF(E33:E40,"C"),COUNTIF(E42:E43,"C"),COUNTIF(E45:E49,"C"),COUNTIF(E51:E57,"C"),COUNTIF(E59:E63,"C"),COUNTIF(E65:E67,"C"))</f>
        <v>0</v>
      </c>
      <c r="F69" s="45" cm="1">
        <f t="array" ref="F69">SUM(COUNTIF(F3:F9,"C"),COUNTIF(F11:F11,"C"),COUNTIF(F13:F14,"C"),COUNTIF(F16:F23,"C"),COUNTIF(F25:F26,"C"),COUNTIF(F28:F29,"C"),COUNTIF(F31:F31,"C"),COUNTIF(F33:F40,"C"),COUNTIF(F42:F43,"C"),COUNTIF(F45:F49,"C"),COUNTIF(F51:F57,"C"),COUNTIF(F59:F63,"C"),COUNTIF(F65:F67,"C"))</f>
        <v>0</v>
      </c>
      <c r="G69" s="49" cm="1">
        <f t="array" ref="G69">SUM(COUNTIF(G3:G9,"C"),COUNTIF(G11:G11,"C"),COUNTIF(G13:G14,"C"),COUNTIF(G16:G23,"C"),COUNTIF(G25:G26,"C"),COUNTIF(G28:G29,"C"),COUNTIF(G31:G31,"C"),COUNTIF(G33:G40,"C"),COUNTIF(G42:G43,"C"),COUNTIF(G45:G49,"C"),COUNTIF(G51:G57,"C"),COUNTIF(G59:G63,"C"),COUNTIF(G65:G67,"C"))</f>
        <v>0</v>
      </c>
      <c r="H69" s="50"/>
      <c r="I69" s="50"/>
      <c r="J69" s="50"/>
      <c r="K69" s="50"/>
      <c r="L69" s="23"/>
      <c r="M69" s="47"/>
      <c r="N69" s="48"/>
      <c r="O69" s="48"/>
      <c r="P69" s="48"/>
      <c r="Q69" s="48"/>
      <c r="R69" s="51"/>
      <c r="S69" s="50"/>
    </row>
    <row r="70" ht="15.35" customHeight="1">
      <c r="A70" s="52"/>
      <c r="B70" s="53"/>
      <c r="C70" t="s" s="20">
        <v>18</v>
      </c>
      <c r="D70" s="53"/>
      <c r="E70" s="46" cm="1">
        <f t="array" ref="E70">SUM(COUNTIF(E3:E9,"NC"),COUNTIF(E11:E11,"NC"),COUNTIF(E13:E14,"NC"),COUNTIF(E16:E23,"NC"),COUNTIF(E25:E26,"NC"),COUNTIF(E28:E29,"NC"),COUNTIF(E31:E31,"NC"),COUNTIF(E33:E40,"NC"),COUNTIF(E42:E43,"NC"),COUNTIF(E45:E49,"NC"),COUNTIF(E51:E57,"NC"),COUNTIF(E59:E63,"NC"),COUNTIF(E65:E67,"NC"))</f>
        <v>0</v>
      </c>
      <c r="F70" s="46" cm="1">
        <f t="array" ref="F70">SUM(COUNTIF(F3:F9,"NC"),COUNTIF(F11:F11,"NC"),COUNTIF(F13:F14,"NC"),COUNTIF(F16:F23,"NC"),COUNTIF(F25:F26,"NC"),COUNTIF(F28:F29,"NC"),COUNTIF(F31:F31,"NC"),COUNTIF(F33:F40,"NC"),COUNTIF(F42:F43,"NC"),COUNTIF(F45:F49,"NC"),COUNTIF(F51:F57,"NC"),COUNTIF(F59:F63,"NC"),COUNTIF(F65:F67,"NC"))</f>
        <v>0</v>
      </c>
      <c r="G70" s="54" cm="1">
        <f t="array" ref="G70">SUM(COUNTIF(G3:G9,"NC"),COUNTIF(G11:G11,"NC"),COUNTIF(G13:G14,"NC"),COUNTIF(G16:G23,"NC"),COUNTIF(G25:G26,"NC"),COUNTIF(G28:G29,"NC"),COUNTIF(G31:G31,"NC"),COUNTIF(G33:G40,"NC"),COUNTIF(G42:G43,"NC"),COUNTIF(G45:G49,"NC"),COUNTIF(G51:G57,"NC"),COUNTIF(G59:G63,"NC"),COUNTIF(G65:G67,"NC"))</f>
        <v>0</v>
      </c>
      <c r="H70" s="50"/>
      <c r="I70" s="50"/>
      <c r="J70" s="50"/>
      <c r="K70" s="50"/>
      <c r="L70" s="23"/>
      <c r="M70" s="52"/>
      <c r="N70" s="53"/>
      <c r="O70" s="53"/>
      <c r="P70" s="53"/>
      <c r="Q70" s="53"/>
      <c r="R70" s="55"/>
      <c r="S70" s="50"/>
    </row>
    <row r="71" ht="15.35" customHeight="1">
      <c r="A71" s="52"/>
      <c r="B71" s="53"/>
      <c r="C71" t="s" s="20">
        <v>19</v>
      </c>
      <c r="D71" s="53"/>
      <c r="E71" s="46" cm="1">
        <f t="array" ref="E71">SUM(COUNTIF(E3:E9,"NA"),COUNTIF(E11:E11,"NA"),COUNTIF(E13:E14,"NA"),COUNTIF(E16:E23,"NA"),COUNTIF(E25:E26,"NA"),COUNTIF(E28:E29,"NA"),COUNTIF(E31:E31,"NA"),COUNTIF(E33:E40,"NA"),COUNTIF(E42:E43,"NA"),COUNTIF(E45:E49,"NA"),COUNTIF(E51:E57,"NA"),COUNTIF(E59:E63,"NA"),COUNTIF(E65:E67,"NA"))</f>
        <v>0</v>
      </c>
      <c r="F71" s="46" cm="1">
        <f t="array" ref="F71">SUM(COUNTIF(F3:F9,"NA"),COUNTIF(F11:F11,"NA"),COUNTIF(F13:F14,"NA"),COUNTIF(F16:F23,"NA"),COUNTIF(F25:F26,"NA"),COUNTIF(F28:F29,"NA"),COUNTIF(F31:F31,"NA"),COUNTIF(F33:F40,"NA"),COUNTIF(F42:F43,"NA"),COUNTIF(F45:F49,"NA"),COUNTIF(F51:F57,"NA"),COUNTIF(F59:F63,"NA"),COUNTIF(F65:F67,"NA"))</f>
        <v>0</v>
      </c>
      <c r="G71" s="54" cm="1">
        <f t="array" ref="G71">SUM(COUNTIF(G3:G9,"NA"),COUNTIF(G11:G11,"NA"),COUNTIF(G13:G14,"NA"),COUNTIF(G16:G23,"NA"),COUNTIF(G25:G26,"NA"),COUNTIF(G28:G29,"NA"),COUNTIF(G31:G31,"NA"),COUNTIF(G33:G40,"NA"),COUNTIF(G42:G43,"NA"),COUNTIF(G45:G49,"NA"),COUNTIF(G51:G57,"NA"),COUNTIF(G59:G63,"NA"),COUNTIF(G65:G67,"NA"))</f>
        <v>0</v>
      </c>
      <c r="H71" s="50"/>
      <c r="I71" s="50"/>
      <c r="J71" s="50"/>
      <c r="K71" s="50"/>
      <c r="L71" s="23"/>
      <c r="M71" s="52"/>
      <c r="N71" s="53"/>
      <c r="O71" s="53"/>
      <c r="P71" s="53"/>
      <c r="Q71" s="53"/>
      <c r="R71" s="55"/>
      <c r="S71" s="50"/>
    </row>
    <row r="72" ht="15.35" customHeight="1">
      <c r="A72" s="52"/>
      <c r="B72" s="53"/>
      <c r="C72" t="s" s="20">
        <v>20</v>
      </c>
      <c r="D72" s="53"/>
      <c r="E72" t="str" s="52" cm="1">
        <f t="array" ref="E72">IF(AND(E69=0,E70=0),"NA",E69/(E69+E70))</f>
        <v>NA</v>
      </c>
      <c r="F72" t="str" s="52" cm="1">
        <f t="array" ref="F72">IF(AND(F69=0,F70=0),"NA",F69/(F69+F70))</f>
        <v>NA</v>
      </c>
      <c r="G72" t="str" s="56" cm="1">
        <f t="array" ref="G72">IF(AND(G69=0,G70=0),"NA",G69/(G69+G70))</f>
        <v>NA</v>
      </c>
      <c r="H72" s="57"/>
      <c r="I72" s="50"/>
      <c r="J72" s="50"/>
      <c r="K72" s="50"/>
      <c r="L72" s="23"/>
      <c r="M72" s="52"/>
      <c r="N72" s="53"/>
      <c r="O72" s="53"/>
      <c r="P72" s="53"/>
      <c r="Q72" s="53"/>
      <c r="R72" s="55"/>
      <c r="S72" s="50"/>
    </row>
    <row r="73" ht="16.6" customHeight="1">
      <c r="A73" s="7"/>
      <c r="B73" s="7"/>
      <c r="C73" s="7"/>
      <c r="D73" s="7"/>
      <c r="E73" s="7"/>
      <c r="F73" s="7"/>
      <c r="G73" s="7"/>
      <c r="H73" s="58"/>
      <c r="I73" s="58"/>
      <c r="J73" s="58"/>
      <c r="K73" s="58"/>
      <c r="L73" s="7"/>
      <c r="M73" s="7"/>
      <c r="N73" s="7"/>
      <c r="O73" s="7"/>
      <c r="P73" s="7"/>
      <c r="Q73" s="7"/>
      <c r="R73" s="7"/>
      <c r="S73" s="58"/>
    </row>
    <row r="74" ht="16.6" customHeight="1">
      <c r="A74" s="7"/>
      <c r="B74" s="7"/>
      <c r="C74" s="7"/>
      <c r="D74" s="7"/>
      <c r="E74" s="7" cm="1">
        <f t="array" ref="E74">E72*100</f>
      </c>
      <c r="F74" s="7" cm="1">
        <f t="array" ref="F74">F72*100</f>
      </c>
      <c r="G74" s="7" cm="1">
        <f t="array" ref="G74">G72*100</f>
      </c>
      <c r="H74" s="7"/>
      <c r="I74" s="7"/>
      <c r="J74" s="7"/>
      <c r="K74" s="7"/>
      <c r="L74" s="7"/>
      <c r="M74" s="7"/>
      <c r="N74" s="7"/>
      <c r="O74" s="7"/>
      <c r="P74" s="7"/>
      <c r="Q74" s="7"/>
      <c r="R74" s="7"/>
      <c r="S74" s="7"/>
    </row>
    <row r="75" ht="16.6" customHeight="1">
      <c r="A75" s="7"/>
      <c r="B75" s="7"/>
      <c r="C75" s="7"/>
      <c r="D75" s="7"/>
      <c r="E75" s="7" cm="1">
        <f t="array" ref="E75">IF(AND(E74&gt;='Échelle'!$A$2,E74&lt;'Échelle'!$B$2),'Échelle'!$C$2,IF(AND(E74&gt;='Échelle'!$A$3,E74&lt;'Échelle'!$B$3),'Échelle'!$C$3,IF(AND(E74&gt;='Échelle'!$A$4,E74&lt;'Échelle'!$B$4),'Échelle'!$C$4,IF(AND(E74&gt;='Échelle'!$A$5,E74&lt;'Échelle'!$B$5),'Échelle'!$C$5,IF(AND(E74&gt;='Échelle'!$A$6,E74&lt;='Échelle'!$B$6),'Échelle'!$C$6,"")))))</f>
      </c>
      <c r="F75" s="7" cm="1">
        <f t="array" ref="F75">IF(AND(F74&gt;='Échelle'!$A$2,F74&lt;'Échelle'!$B$2),'Échelle'!$C$2,IF(AND(F74&gt;='Échelle'!$A$3,F74&lt;'Échelle'!$B$3),'Échelle'!$C$3,IF(AND(F74&gt;='Échelle'!$A$4,F74&lt;'Échelle'!$B$4),'Échelle'!$C$4,IF(AND(F74&gt;='Échelle'!$A$5,F74&lt;'Échelle'!$B$5),'Échelle'!$C$5,IF(AND(F74&gt;='Échelle'!$A$6,F74&lt;='Échelle'!$B$6),'Échelle'!$C$6,"")))))</f>
      </c>
      <c r="G75" s="7" cm="1">
        <f t="array" ref="G75">IF(AND(G74&gt;='Échelle'!$A$2,G74&lt;'Échelle'!$B$2),'Échelle'!$C$2,IF(AND(G74&gt;='Échelle'!$A$3,G74&lt;'Échelle'!$B$3),'Échelle'!$C$3,IF(AND(G74&gt;='Échelle'!$A$4,G74&lt;'Échelle'!$B$4),'Échelle'!$C$4,IF(AND(G74&gt;='Échelle'!$A$5,G74&lt;'Échelle'!$B$5),'Échelle'!$C$5,IF(AND(G74&gt;='Échelle'!$A$6,G74&lt;='Échelle'!$B$6),'Échelle'!$C$6,"")))))</f>
      </c>
      <c r="H75" s="7"/>
      <c r="I75" s="7"/>
      <c r="J75" s="7"/>
      <c r="K75" s="7"/>
      <c r="L75" s="7"/>
      <c r="M75" s="7"/>
      <c r="N75" s="7"/>
      <c r="O75" s="7"/>
      <c r="P75" s="7"/>
      <c r="Q75" s="7"/>
      <c r="R75" s="7"/>
      <c r="S75" s="7"/>
    </row>
  </sheetData>
  <pageMargins left="0.39375" right="0.39375" top="0.532639" bottom="0.39375" header="0.39375" footer="0.39375"/>
  <pageSetup firstPageNumber="1" fitToHeight="1" fitToWidth="1" scale="74" useFirstPageNumber="0" orientation="portrait" pageOrder="overThenDown"/>
  <headerFooter>
    <oddHeader>&amp;R&amp;"Arial,Regular"&amp;12&amp;K000000&amp;10&amp;P/&amp;N - BaseDeCalcul</oddHead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R119"/>
  <sheetViews>
    <sheetView workbookViewId="0" showGridLines="0" defaultGridColor="1"/>
  </sheetViews>
  <sheetFormatPr defaultColWidth="7.28571" defaultRowHeight="15.75" customHeight="1" outlineLevelRow="0" outlineLevelCol="0"/>
  <cols>
    <col min="1" max="1" width="10.5781" style="59" customWidth="1"/>
    <col min="2" max="2" width="84.7344" style="59" customWidth="1"/>
    <col min="3" max="13" width="5" style="59" customWidth="1"/>
    <col min="14" max="14" width="4.15625" style="59" customWidth="1"/>
    <col min="15" max="15" width="4.86719" style="59" customWidth="1"/>
    <col min="16" max="16" width="1.86719" style="59" customWidth="1"/>
    <col min="17" max="17" width="4.86719" style="59" customWidth="1"/>
    <col min="18" max="18" width="5.86719" style="59" customWidth="1"/>
    <col min="19" max="16384" width="7.28906" style="59" customWidth="1"/>
  </cols>
  <sheetData>
    <row r="1" ht="16.6" customHeight="1">
      <c r="A1" s="60"/>
      <c r="B1" s="61"/>
      <c r="C1" s="61"/>
      <c r="D1" s="61"/>
      <c r="E1" s="61"/>
      <c r="F1" s="61"/>
      <c r="G1" s="61"/>
      <c r="H1" s="61"/>
      <c r="I1" s="61"/>
      <c r="J1" s="61"/>
      <c r="K1" s="61"/>
      <c r="L1" s="61"/>
      <c r="M1" s="61"/>
      <c r="N1" s="61"/>
      <c r="O1" s="61"/>
      <c r="P1" s="62"/>
      <c r="Q1" s="7"/>
      <c r="R1" s="7"/>
    </row>
    <row r="2" ht="15" customHeight="1">
      <c r="A2" t="s" s="63">
        <v>22</v>
      </c>
      <c r="B2" s="64"/>
      <c r="C2" s="64"/>
      <c r="D2" s="64"/>
      <c r="E2" s="64"/>
      <c r="F2" s="64"/>
      <c r="G2" s="64"/>
      <c r="H2" s="64"/>
      <c r="I2" s="64"/>
      <c r="J2" s="64"/>
      <c r="K2" s="64"/>
      <c r="L2" s="64"/>
      <c r="M2" s="64"/>
      <c r="N2" s="64"/>
      <c r="O2" s="64"/>
      <c r="P2" s="62"/>
      <c r="Q2" s="7"/>
      <c r="R2" s="7"/>
    </row>
    <row r="3" ht="15" customHeight="1">
      <c r="A3" s="65"/>
      <c r="B3" t="s" s="66">
        <v>23</v>
      </c>
      <c r="C3" t="s" s="66">
        <v>24</v>
      </c>
      <c r="D3" t="s" s="66">
        <v>25</v>
      </c>
      <c r="E3" t="s" s="66">
        <v>26</v>
      </c>
      <c r="F3" t="s" s="66">
        <v>27</v>
      </c>
      <c r="G3" t="s" s="66">
        <v>28</v>
      </c>
      <c r="H3" t="s" s="66">
        <v>29</v>
      </c>
      <c r="I3" t="s" s="66">
        <v>30</v>
      </c>
      <c r="J3" t="s" s="66">
        <v>31</v>
      </c>
      <c r="K3" t="s" s="66">
        <v>32</v>
      </c>
      <c r="L3" t="s" s="66">
        <v>33</v>
      </c>
      <c r="M3" t="s" s="66">
        <v>34</v>
      </c>
      <c r="N3" t="s" s="66">
        <v>35</v>
      </c>
      <c r="O3" t="s" s="66">
        <v>36</v>
      </c>
      <c r="P3" s="67"/>
      <c r="Q3" s="68"/>
      <c r="R3" s="68"/>
    </row>
    <row r="4" ht="13.55" customHeight="1">
      <c r="A4" s="69"/>
      <c r="B4" s="70"/>
      <c r="C4" s="70"/>
      <c r="D4" s="70"/>
      <c r="E4" s="70"/>
      <c r="F4" s="70"/>
      <c r="G4" s="70"/>
      <c r="H4" s="70"/>
      <c r="I4" s="70"/>
      <c r="J4" s="70"/>
      <c r="K4" s="70"/>
      <c r="L4" s="70"/>
      <c r="M4" s="70"/>
      <c r="N4" s="70"/>
      <c r="O4" s="70"/>
      <c r="P4" s="67"/>
      <c r="Q4" s="68"/>
      <c r="R4" s="68"/>
    </row>
    <row r="5" ht="59.85" customHeight="1">
      <c r="A5" s="69"/>
      <c r="B5" s="71"/>
      <c r="C5" s="71"/>
      <c r="D5" s="71"/>
      <c r="E5" s="71"/>
      <c r="F5" s="71"/>
      <c r="G5" s="71"/>
      <c r="H5" s="71"/>
      <c r="I5" s="71"/>
      <c r="J5" s="71"/>
      <c r="K5" s="71"/>
      <c r="L5" s="71"/>
      <c r="M5" s="71"/>
      <c r="N5" s="71"/>
      <c r="O5" s="71"/>
      <c r="P5" s="67"/>
      <c r="Q5" s="72"/>
      <c r="R5" s="72"/>
    </row>
    <row r="6" ht="18" customHeight="1">
      <c r="A6" s="73"/>
      <c r="B6" t="s" s="74">
        <v>10</v>
      </c>
      <c r="C6" s="75" cm="1">
        <f t="array" ref="C6">'BaseDeCalcul'!$H10</f>
        <v>0</v>
      </c>
      <c r="D6" s="75" cm="1">
        <f t="array" ref="D6">'BaseDeCalcul'!H12</f>
        <v>0</v>
      </c>
      <c r="E6" s="75" cm="1">
        <f t="array" ref="E6">'BaseDeCalcul'!H15</f>
        <v>0</v>
      </c>
      <c r="F6" s="75" cm="1">
        <f t="array" ref="F6">'BaseDeCalcul'!H24</f>
        <v>0</v>
      </c>
      <c r="G6" s="75" cm="1">
        <f t="array" ref="G6">'BaseDeCalcul'!H27</f>
        <v>0</v>
      </c>
      <c r="H6" s="75" cm="1">
        <f t="array" ref="H6">'BaseDeCalcul'!H30</f>
        <v>0</v>
      </c>
      <c r="I6" s="75" cm="1">
        <f t="array" ref="I6">'BaseDeCalcul'!H32</f>
        <v>0</v>
      </c>
      <c r="J6" s="75" cm="1">
        <f t="array" ref="J6">'BaseDeCalcul'!H41</f>
        <v>0</v>
      </c>
      <c r="K6" s="75" cm="1">
        <f t="array" ref="K6">'BaseDeCalcul'!H44</f>
        <v>0</v>
      </c>
      <c r="L6" s="75" cm="1">
        <f t="array" ref="L6">'BaseDeCalcul'!H50</f>
        <v>0</v>
      </c>
      <c r="M6" s="75" cm="1">
        <f t="array" ref="M6">'BaseDeCalcul'!H58</f>
        <v>0</v>
      </c>
      <c r="N6" s="75" cm="1">
        <f t="array" ref="N6">'BaseDeCalcul'!H64</f>
        <v>0</v>
      </c>
      <c r="O6" s="76" cm="1">
        <f t="array" ref="O6">'BaseDeCalcul'!H68</f>
        <v>0</v>
      </c>
      <c r="P6" s="77"/>
      <c r="Q6" s="78" cm="1">
        <f t="array" ref="Q6">SUM(C6:O6)</f>
        <v>0</v>
      </c>
      <c r="R6" t="s" s="79">
        <v>10</v>
      </c>
    </row>
    <row r="7" ht="18" customHeight="1">
      <c r="A7" s="80"/>
      <c r="B7" t="s" s="81">
        <v>11</v>
      </c>
      <c r="C7" s="82" cm="1">
        <f t="array" ref="C7">'BaseDeCalcul'!I10</f>
        <v>0</v>
      </c>
      <c r="D7" s="82" cm="1">
        <f t="array" ref="D7">'BaseDeCalcul'!I12</f>
        <v>0</v>
      </c>
      <c r="E7" s="82" cm="1">
        <f t="array" ref="E7">'BaseDeCalcul'!I15</f>
        <v>0</v>
      </c>
      <c r="F7" s="82" cm="1">
        <f t="array" ref="F7">'BaseDeCalcul'!I24</f>
        <v>0</v>
      </c>
      <c r="G7" s="82" cm="1">
        <f t="array" ref="G7">'BaseDeCalcul'!I27</f>
        <v>0</v>
      </c>
      <c r="H7" s="82" cm="1">
        <f t="array" ref="H7">'BaseDeCalcul'!I30</f>
        <v>0</v>
      </c>
      <c r="I7" s="82" cm="1">
        <f t="array" ref="I7">'BaseDeCalcul'!I32</f>
        <v>0</v>
      </c>
      <c r="J7" s="82" cm="1">
        <f t="array" ref="J7">'BaseDeCalcul'!I41</f>
        <v>0</v>
      </c>
      <c r="K7" s="82" cm="1">
        <f t="array" ref="K7">'BaseDeCalcul'!I44</f>
        <v>0</v>
      </c>
      <c r="L7" s="82" cm="1">
        <f t="array" ref="L7">'BaseDeCalcul'!I50</f>
        <v>0</v>
      </c>
      <c r="M7" s="82" cm="1">
        <f t="array" ref="M7">'BaseDeCalcul'!I58</f>
        <v>0</v>
      </c>
      <c r="N7" s="82" cm="1">
        <f t="array" ref="N7">'BaseDeCalcul'!I64</f>
        <v>0</v>
      </c>
      <c r="O7" s="83" cm="1">
        <f t="array" ref="O7">'BaseDeCalcul'!I68</f>
        <v>0</v>
      </c>
      <c r="P7" s="77"/>
      <c r="Q7" s="84" cm="1">
        <f t="array" ref="Q7">SUM(C7:O7)</f>
        <v>0</v>
      </c>
      <c r="R7" t="s" s="85">
        <v>11</v>
      </c>
    </row>
    <row r="8" ht="18" customHeight="1">
      <c r="A8" s="80"/>
      <c r="B8" t="s" s="86">
        <v>12</v>
      </c>
      <c r="C8" s="87" cm="1">
        <f t="array" ref="C8">'BaseDeCalcul'!J10</f>
        <v>0</v>
      </c>
      <c r="D8" s="87" cm="1">
        <f t="array" ref="D8">'BaseDeCalcul'!J12</f>
        <v>0</v>
      </c>
      <c r="E8" s="87" cm="1">
        <f t="array" ref="E8">'BaseDeCalcul'!J15</f>
        <v>0</v>
      </c>
      <c r="F8" s="87" cm="1">
        <f t="array" ref="F8">'BaseDeCalcul'!J24</f>
        <v>0</v>
      </c>
      <c r="G8" s="87" cm="1">
        <f t="array" ref="G8">'BaseDeCalcul'!J27</f>
        <v>0</v>
      </c>
      <c r="H8" s="87" cm="1">
        <f t="array" ref="H8">'BaseDeCalcul'!J30</f>
        <v>0</v>
      </c>
      <c r="I8" s="87" cm="1">
        <f t="array" ref="I8">'BaseDeCalcul'!J32</f>
        <v>0</v>
      </c>
      <c r="J8" s="87" cm="1">
        <f t="array" ref="J8">'BaseDeCalcul'!J41</f>
        <v>0</v>
      </c>
      <c r="K8" s="87" cm="1">
        <f t="array" ref="K8">'BaseDeCalcul'!J44</f>
        <v>0</v>
      </c>
      <c r="L8" s="87" cm="1">
        <f t="array" ref="L8">'BaseDeCalcul'!J50</f>
        <v>0</v>
      </c>
      <c r="M8" s="87" cm="1">
        <f t="array" ref="M8">'BaseDeCalcul'!J58</f>
        <v>0</v>
      </c>
      <c r="N8" s="87" cm="1">
        <f t="array" ref="N8">'BaseDeCalcul'!J64</f>
        <v>0</v>
      </c>
      <c r="O8" s="88" cm="1">
        <f t="array" ref="O8">'BaseDeCalcul'!J68</f>
        <v>0</v>
      </c>
      <c r="P8" s="77"/>
      <c r="Q8" s="89" cm="1">
        <f t="array" ref="Q8">SUM(C8:O8)</f>
        <v>0</v>
      </c>
      <c r="R8" t="s" s="90">
        <v>12</v>
      </c>
    </row>
    <row r="9" ht="18" customHeight="1">
      <c r="A9" s="80"/>
      <c r="B9" t="s" s="81">
        <v>37</v>
      </c>
      <c r="C9" s="82" cm="1">
        <f t="array" ref="C9">'BaseDeCalcul'!S10</f>
        <v>0</v>
      </c>
      <c r="D9" s="82" cm="1">
        <f t="array" ref="D9">'BaseDeCalcul'!S12</f>
        <v>0</v>
      </c>
      <c r="E9" s="82" cm="1">
        <f t="array" ref="E9">'BaseDeCalcul'!S15</f>
        <v>0</v>
      </c>
      <c r="F9" s="82" cm="1">
        <f t="array" ref="F9">'BaseDeCalcul'!S24</f>
        <v>0</v>
      </c>
      <c r="G9" s="82" cm="1">
        <f t="array" ref="G9">'BaseDeCalcul'!S27</f>
        <v>0</v>
      </c>
      <c r="H9" s="82" cm="1">
        <f t="array" ref="H9">'BaseDeCalcul'!S30</f>
        <v>0</v>
      </c>
      <c r="I9" s="82" cm="1">
        <f t="array" ref="I9">'BaseDeCalcul'!S32</f>
        <v>0</v>
      </c>
      <c r="J9" s="82" cm="1">
        <f t="array" ref="J9">'BaseDeCalcul'!S41</f>
        <v>0</v>
      </c>
      <c r="K9" s="82" cm="1">
        <f t="array" ref="K9">'BaseDeCalcul'!S44</f>
        <v>0</v>
      </c>
      <c r="L9" s="82" cm="1">
        <f t="array" ref="L9">'BaseDeCalcul'!S50</f>
        <v>0</v>
      </c>
      <c r="M9" s="82" cm="1">
        <f t="array" ref="M9">'BaseDeCalcul'!S58</f>
        <v>0</v>
      </c>
      <c r="N9" s="82" cm="1">
        <f t="array" ref="N9">'BaseDeCalcul'!S64</f>
        <v>0</v>
      </c>
      <c r="O9" s="83" cm="1">
        <f t="array" ref="O9">'BaseDeCalcul'!S68</f>
        <v>0</v>
      </c>
      <c r="P9" s="77"/>
      <c r="Q9" s="91" cm="1">
        <f t="array" ref="Q9">SUM(C9:O9)</f>
        <v>0</v>
      </c>
      <c r="R9" t="s" s="92">
        <v>37</v>
      </c>
    </row>
    <row r="10" ht="18" customHeight="1">
      <c r="A10" s="80"/>
      <c r="B10" t="s" s="93">
        <v>13</v>
      </c>
      <c r="C10" s="94" cm="1">
        <f t="array" ref="C10">'BaseDeCalcul'!K10</f>
        <v>0</v>
      </c>
      <c r="D10" s="94" cm="1">
        <f t="array" ref="D10">'BaseDeCalcul'!K12</f>
        <v>0</v>
      </c>
      <c r="E10" s="94" cm="1">
        <f t="array" ref="E10">'BaseDeCalcul'!K15</f>
        <v>0</v>
      </c>
      <c r="F10" s="94" cm="1">
        <f t="array" ref="F10">'BaseDeCalcul'!K24</f>
        <v>0</v>
      </c>
      <c r="G10" s="94" cm="1">
        <f t="array" ref="G10">'BaseDeCalcul'!K27</f>
        <v>0</v>
      </c>
      <c r="H10" s="94" cm="1">
        <f t="array" ref="H10">'BaseDeCalcul'!K30</f>
        <v>0</v>
      </c>
      <c r="I10" s="94" cm="1">
        <f t="array" ref="I10">'BaseDeCalcul'!K32</f>
        <v>0</v>
      </c>
      <c r="J10" s="94" cm="1">
        <f t="array" ref="J10">'BaseDeCalcul'!K41</f>
        <v>0</v>
      </c>
      <c r="K10" s="94" cm="1">
        <f t="array" ref="K10">'BaseDeCalcul'!K44</f>
        <v>0</v>
      </c>
      <c r="L10" s="94" cm="1">
        <f t="array" ref="L10">'BaseDeCalcul'!K50</f>
        <v>0</v>
      </c>
      <c r="M10" s="94" cm="1">
        <f t="array" ref="M10">'BaseDeCalcul'!K58</f>
        <v>0</v>
      </c>
      <c r="N10" s="94" cm="1">
        <f t="array" ref="N10">'BaseDeCalcul'!K64</f>
        <v>0</v>
      </c>
      <c r="O10" s="95" cm="1">
        <f t="array" ref="O10">'BaseDeCalcul'!K68</f>
        <v>0</v>
      </c>
      <c r="P10" s="77"/>
      <c r="Q10" s="91" cm="1">
        <f t="array" ref="Q10">SUM(C10:O10)</f>
        <v>0</v>
      </c>
      <c r="R10" t="s" s="92">
        <v>13</v>
      </c>
    </row>
    <row r="11" ht="17.1" customHeight="1">
      <c r="A11" s="7"/>
      <c r="B11" s="96"/>
      <c r="C11" s="96"/>
      <c r="D11" s="96"/>
      <c r="E11" s="96"/>
      <c r="F11" s="96"/>
      <c r="G11" s="96"/>
      <c r="H11" s="96"/>
      <c r="I11" s="96"/>
      <c r="J11" s="96"/>
      <c r="K11" s="96"/>
      <c r="L11" s="96"/>
      <c r="M11" s="96"/>
      <c r="N11" s="96"/>
      <c r="O11" s="96"/>
      <c r="P11" s="7"/>
      <c r="Q11" s="58"/>
      <c r="R11" s="58"/>
    </row>
    <row r="12" ht="16.6" customHeight="1">
      <c r="A12" s="7"/>
      <c r="B12" s="7"/>
      <c r="C12" s="52"/>
      <c r="D12" s="52"/>
      <c r="E12" s="52"/>
      <c r="F12" s="52"/>
      <c r="G12" s="7"/>
      <c r="H12" s="7"/>
      <c r="I12" s="7"/>
      <c r="J12" s="7"/>
      <c r="K12" s="7"/>
      <c r="L12" s="7"/>
      <c r="M12" s="7"/>
      <c r="N12" s="7"/>
      <c r="O12" s="7"/>
      <c r="P12" s="7"/>
      <c r="Q12" s="7"/>
      <c r="R12" s="7"/>
    </row>
    <row r="13" ht="16.6" customHeight="1">
      <c r="A13" s="7"/>
      <c r="B13" s="7"/>
      <c r="C13" s="52"/>
      <c r="D13" s="52"/>
      <c r="E13" s="52"/>
      <c r="F13" s="52"/>
      <c r="G13" s="7"/>
      <c r="H13" s="7"/>
      <c r="I13" s="7"/>
      <c r="J13" s="7"/>
      <c r="K13" s="7"/>
      <c r="L13" s="7"/>
      <c r="M13" s="7"/>
      <c r="N13" s="7"/>
      <c r="O13" s="7"/>
      <c r="P13" s="7"/>
      <c r="Q13" s="7"/>
      <c r="R13" s="7"/>
    </row>
    <row r="14" ht="16.6" customHeight="1">
      <c r="A14" s="7"/>
      <c r="B14" t="s" s="97">
        <v>38</v>
      </c>
      <c r="C14" s="7"/>
      <c r="D14" s="7"/>
      <c r="E14" s="7"/>
      <c r="F14" s="7"/>
      <c r="G14" s="7"/>
      <c r="H14" s="7"/>
      <c r="I14" s="7"/>
      <c r="J14" s="7"/>
      <c r="K14" s="7"/>
      <c r="L14" s="7"/>
      <c r="M14" s="7"/>
      <c r="N14" s="7"/>
      <c r="O14" s="7"/>
      <c r="P14" s="7"/>
      <c r="Q14" s="7"/>
      <c r="R14" s="7"/>
    </row>
    <row r="15" ht="16.6" customHeight="1">
      <c r="A15" s="7"/>
      <c r="B15" s="98" cm="1">
        <f t="array" ref="B15">IF(Q10=0,ROUND(COUNTIF('BaseDeCalcul'!L3:L67,"C")/(COUNTIF('BaseDeCalcul'!L3:L67,"C")+COUNTIF('BaseDeCalcul'!L3:L67,"NC"))*100,2)&amp;"%","Pourcentage indisponible : il reste "&amp;Q10&amp;" critère(s) NT.")</f>
      </c>
      <c r="C15" s="99"/>
      <c r="D15" s="7"/>
      <c r="E15" s="7"/>
      <c r="F15" s="7"/>
      <c r="G15" s="7"/>
      <c r="H15" s="7"/>
      <c r="I15" s="7"/>
      <c r="J15" s="7"/>
      <c r="K15" s="7"/>
      <c r="L15" s="7"/>
      <c r="M15" s="7"/>
      <c r="N15" s="7"/>
      <c r="O15" s="7"/>
      <c r="P15" s="7"/>
      <c r="Q15" s="7"/>
      <c r="R15" s="7"/>
    </row>
    <row r="16" ht="16.6" customHeight="1">
      <c r="A16" s="7"/>
      <c r="B16" s="7"/>
      <c r="C16" s="99"/>
      <c r="D16" s="7"/>
      <c r="E16" s="7"/>
      <c r="F16" s="7"/>
      <c r="G16" s="7"/>
      <c r="H16" s="7"/>
      <c r="I16" s="7"/>
      <c r="J16" s="7"/>
      <c r="K16" s="7"/>
      <c r="L16" s="7"/>
      <c r="M16" s="7"/>
      <c r="N16" s="7"/>
      <c r="O16" s="7"/>
      <c r="P16" s="7"/>
      <c r="Q16" s="7"/>
      <c r="R16" s="7"/>
    </row>
    <row r="17" ht="16.6" customHeight="1">
      <c r="A17" s="7"/>
      <c r="B17" t="s" s="97">
        <v>39</v>
      </c>
      <c r="C17" s="7"/>
      <c r="D17" s="7"/>
      <c r="E17" s="7"/>
      <c r="F17" s="7"/>
      <c r="G17" s="7"/>
      <c r="H17" s="7"/>
      <c r="I17" s="7"/>
      <c r="J17" s="7"/>
      <c r="K17" s="7"/>
      <c r="L17" s="7"/>
      <c r="M17" s="7"/>
      <c r="N17" s="7"/>
      <c r="O17" s="7"/>
      <c r="P17" s="7"/>
      <c r="Q17" s="7"/>
      <c r="R17" s="7"/>
    </row>
    <row r="18" ht="16.6" customHeight="1">
      <c r="A18" s="7"/>
      <c r="B18" s="7" cm="1">
        <f t="array" ref="B18">IF(Q10=0,ROUND(_xlfn.AVERAGEIF('BaseDeCalcul'!E72:G72,"&lt;&gt;NA")*100,1)&amp;"%","Pourcentage indisponible : il reste "&amp;Q10&amp;" critère(s) NT.")</f>
      </c>
      <c r="C18" s="7"/>
      <c r="D18" s="7"/>
      <c r="E18" s="7"/>
      <c r="F18" s="7"/>
      <c r="G18" s="7"/>
      <c r="H18" s="7"/>
      <c r="I18" s="7"/>
      <c r="J18" s="7"/>
      <c r="K18" s="7"/>
      <c r="L18" s="7"/>
      <c r="M18" s="7"/>
      <c r="N18" s="7"/>
      <c r="O18" s="7"/>
      <c r="P18" s="7"/>
      <c r="Q18" s="7"/>
      <c r="R18" s="7"/>
    </row>
    <row r="19" ht="16.6" customHeight="1">
      <c r="A19" s="7"/>
      <c r="B19" s="7"/>
      <c r="C19" s="7"/>
      <c r="D19" s="7"/>
      <c r="E19" s="7"/>
      <c r="F19" s="7"/>
      <c r="G19" s="7"/>
      <c r="H19" s="7"/>
      <c r="I19" s="7"/>
      <c r="J19" s="7"/>
      <c r="K19" s="7"/>
      <c r="L19" s="7"/>
      <c r="M19" s="7"/>
      <c r="N19" s="7"/>
      <c r="O19" s="7"/>
      <c r="P19" s="7"/>
      <c r="Q19" s="7"/>
      <c r="R19" s="7"/>
    </row>
    <row r="20" ht="16.6" customHeight="1">
      <c r="A20" s="7"/>
      <c r="B20" s="7" cm="1">
        <f t="array" ref="B20">B15*100</f>
      </c>
      <c r="C20" s="7"/>
      <c r="D20" s="7"/>
      <c r="E20" s="7"/>
      <c r="F20" s="7"/>
      <c r="G20" s="7"/>
      <c r="H20" s="7"/>
      <c r="I20" s="7"/>
      <c r="J20" s="7"/>
      <c r="K20" s="7"/>
      <c r="L20" s="7"/>
      <c r="M20" s="7"/>
      <c r="N20" s="7"/>
      <c r="O20" s="7"/>
      <c r="P20" s="7"/>
      <c r="Q20" s="7"/>
      <c r="R20" s="7"/>
    </row>
    <row r="21" ht="16.6" customHeight="1">
      <c r="A21" s="7"/>
      <c r="B21" s="7" cm="1">
        <f t="array" ref="B21">IF(AND(B20&gt;='Échelle'!A2,B20&lt;'Échelle'!B2),'Échelle'!C2,IF(AND(B20&gt;='Échelle'!A3,B20&lt;'Échelle'!B3),'Échelle'!C3,IF(AND(B20&gt;='Échelle'!A4,B20&lt;'Échelle'!B4),'Échelle'!C4,IF(AND(B20&gt;='Échelle'!A5,B20&lt;'Échelle'!B5),'Échelle'!C5,IF(AND(B20&gt;='Échelle'!A6,B20&lt;='Échelle'!B6),'Échelle'!C6,"")))))</f>
      </c>
      <c r="C21" s="7"/>
      <c r="D21" s="7"/>
      <c r="E21" s="7"/>
      <c r="F21" s="7"/>
      <c r="G21" s="7"/>
      <c r="H21" s="7"/>
      <c r="I21" s="7"/>
      <c r="J21" s="7"/>
      <c r="K21" s="7"/>
      <c r="L21" s="7"/>
      <c r="M21" s="7"/>
      <c r="N21" s="7"/>
      <c r="O21" s="7"/>
      <c r="P21" s="7"/>
      <c r="Q21" s="7"/>
      <c r="R21" s="7"/>
    </row>
    <row r="22" ht="16.6" customHeight="1">
      <c r="A22" s="7"/>
      <c r="B22" s="7"/>
      <c r="C22" s="7"/>
      <c r="D22" s="7"/>
      <c r="E22" s="7"/>
      <c r="F22" s="7"/>
      <c r="G22" s="7"/>
      <c r="H22" s="7"/>
      <c r="I22" s="7"/>
      <c r="J22" s="7"/>
      <c r="K22" s="7"/>
      <c r="L22" s="7"/>
      <c r="M22" s="7"/>
      <c r="N22" s="7"/>
      <c r="O22" s="7"/>
      <c r="P22" s="7"/>
      <c r="Q22" s="7"/>
      <c r="R22" s="7"/>
    </row>
    <row r="23" ht="16.6" customHeight="1">
      <c r="A23" s="7"/>
      <c r="B23" s="7"/>
      <c r="C23" s="7"/>
      <c r="D23" s="7"/>
      <c r="E23" s="7"/>
      <c r="F23" s="7"/>
      <c r="G23" s="7"/>
      <c r="H23" s="7"/>
      <c r="I23" s="7"/>
      <c r="J23" s="7"/>
      <c r="K23" s="7"/>
      <c r="L23" s="7"/>
      <c r="M23" s="7"/>
      <c r="N23" s="7"/>
      <c r="O23" s="7"/>
      <c r="P23" s="7"/>
      <c r="Q23" s="7"/>
      <c r="R23" s="7"/>
    </row>
    <row r="24" ht="16.6" customHeight="1">
      <c r="A24" s="7"/>
      <c r="B24" s="7"/>
      <c r="C24" s="7"/>
      <c r="D24" s="7"/>
      <c r="E24" s="7"/>
      <c r="F24" s="7"/>
      <c r="G24" s="7"/>
      <c r="H24" s="7"/>
      <c r="I24" s="7"/>
      <c r="J24" s="7"/>
      <c r="K24" s="7"/>
      <c r="L24" s="7"/>
      <c r="M24" s="7"/>
      <c r="N24" s="7"/>
      <c r="O24" s="7"/>
      <c r="P24" s="7"/>
      <c r="Q24" s="7"/>
      <c r="R24" s="7"/>
    </row>
    <row r="25" ht="16.6" customHeight="1">
      <c r="A25" s="7"/>
      <c r="B25" s="7"/>
      <c r="C25" s="7"/>
      <c r="D25" s="7"/>
      <c r="E25" s="7"/>
      <c r="F25" s="7"/>
      <c r="G25" s="7"/>
      <c r="H25" s="7"/>
      <c r="I25" s="7"/>
      <c r="J25" s="7"/>
      <c r="K25" s="7"/>
      <c r="L25" s="7"/>
      <c r="M25" s="7"/>
      <c r="N25" s="7"/>
      <c r="O25" s="7"/>
      <c r="P25" s="7"/>
      <c r="Q25" s="7"/>
      <c r="R25" s="7"/>
    </row>
    <row r="26" ht="16.6" customHeight="1">
      <c r="A26" s="7"/>
      <c r="B26" s="7"/>
      <c r="C26" s="7"/>
      <c r="D26" s="7"/>
      <c r="E26" s="7"/>
      <c r="F26" s="7"/>
      <c r="G26" s="7"/>
      <c r="H26" s="7"/>
      <c r="I26" s="7"/>
      <c r="J26" s="7"/>
      <c r="K26" s="7"/>
      <c r="L26" s="7"/>
      <c r="M26" s="7"/>
      <c r="N26" s="7"/>
      <c r="O26" s="7"/>
      <c r="P26" s="7"/>
      <c r="Q26" s="7"/>
      <c r="R26" s="7"/>
    </row>
    <row r="27" ht="16.6" customHeight="1">
      <c r="A27" s="7"/>
      <c r="B27" s="7"/>
      <c r="C27" s="7"/>
      <c r="D27" s="7"/>
      <c r="E27" s="7"/>
      <c r="F27" s="7"/>
      <c r="G27" s="7"/>
      <c r="H27" s="7"/>
      <c r="I27" s="7"/>
      <c r="J27" s="7"/>
      <c r="K27" s="7"/>
      <c r="L27" s="7"/>
      <c r="M27" s="7"/>
      <c r="N27" s="7"/>
      <c r="O27" s="7"/>
      <c r="P27" s="7"/>
      <c r="Q27" s="7"/>
      <c r="R27" s="7"/>
    </row>
    <row r="28" ht="16.6" customHeight="1">
      <c r="A28" s="7"/>
      <c r="B28" s="7"/>
      <c r="C28" s="7"/>
      <c r="D28" s="7"/>
      <c r="E28" s="7"/>
      <c r="F28" s="7"/>
      <c r="G28" s="7"/>
      <c r="H28" s="7"/>
      <c r="I28" s="7"/>
      <c r="J28" s="7"/>
      <c r="K28" s="7"/>
      <c r="L28" s="7"/>
      <c r="M28" s="7"/>
      <c r="N28" s="7"/>
      <c r="O28" s="7"/>
      <c r="P28" s="7"/>
      <c r="Q28" s="7"/>
      <c r="R28" s="7"/>
    </row>
    <row r="29" ht="16.6" customHeight="1">
      <c r="A29" s="7"/>
      <c r="B29" s="7"/>
      <c r="C29" s="7"/>
      <c r="D29" s="7"/>
      <c r="E29" s="7"/>
      <c r="F29" s="7"/>
      <c r="G29" s="7"/>
      <c r="H29" s="7"/>
      <c r="I29" s="7"/>
      <c r="J29" s="7"/>
      <c r="K29" s="7"/>
      <c r="L29" s="7"/>
      <c r="M29" s="7"/>
      <c r="N29" s="7"/>
      <c r="O29" s="7"/>
      <c r="P29" s="7"/>
      <c r="Q29" s="7"/>
      <c r="R29" s="7"/>
    </row>
    <row r="30" ht="16.6" customHeight="1">
      <c r="A30" s="7"/>
      <c r="B30" s="7"/>
      <c r="C30" s="7"/>
      <c r="D30" s="7"/>
      <c r="E30" s="7"/>
      <c r="F30" s="7"/>
      <c r="G30" s="7"/>
      <c r="H30" s="7"/>
      <c r="I30" s="7"/>
      <c r="J30" s="7"/>
      <c r="K30" s="7"/>
      <c r="L30" s="7"/>
      <c r="M30" s="7"/>
      <c r="N30" s="7"/>
      <c r="O30" s="7"/>
      <c r="P30" s="7"/>
      <c r="Q30" s="7"/>
      <c r="R30" s="7"/>
    </row>
    <row r="31" ht="16.6" customHeight="1">
      <c r="A31" s="7"/>
      <c r="B31" s="7"/>
      <c r="C31" s="7"/>
      <c r="D31" s="7"/>
      <c r="E31" s="7"/>
      <c r="F31" s="7"/>
      <c r="G31" s="7"/>
      <c r="H31" s="7"/>
      <c r="I31" s="7"/>
      <c r="J31" s="7"/>
      <c r="K31" s="7"/>
      <c r="L31" s="7"/>
      <c r="M31" s="7"/>
      <c r="N31" s="7"/>
      <c r="O31" s="7"/>
      <c r="P31" s="7"/>
      <c r="Q31" s="7"/>
      <c r="R31" s="7"/>
    </row>
    <row r="32" ht="16.6" customHeight="1">
      <c r="A32" s="7"/>
      <c r="B32" s="7"/>
      <c r="C32" s="7"/>
      <c r="D32" s="7"/>
      <c r="E32" s="7"/>
      <c r="F32" s="7"/>
      <c r="G32" s="7"/>
      <c r="H32" s="7"/>
      <c r="I32" s="7"/>
      <c r="J32" s="7"/>
      <c r="K32" s="7"/>
      <c r="L32" s="7"/>
      <c r="M32" s="7"/>
      <c r="N32" s="7"/>
      <c r="O32" s="7"/>
      <c r="P32" s="7"/>
      <c r="Q32" s="7"/>
      <c r="R32" s="7"/>
    </row>
    <row r="33" ht="16.6" customHeight="1">
      <c r="A33" s="7"/>
      <c r="B33" s="7"/>
      <c r="C33" s="7"/>
      <c r="D33" s="7"/>
      <c r="E33" s="7"/>
      <c r="F33" s="7"/>
      <c r="G33" s="7"/>
      <c r="H33" s="7"/>
      <c r="I33" s="7"/>
      <c r="J33" s="7"/>
      <c r="K33" s="7"/>
      <c r="L33" s="7"/>
      <c r="M33" s="7"/>
      <c r="N33" s="7"/>
      <c r="O33" s="7"/>
      <c r="P33" s="7"/>
      <c r="Q33" s="7"/>
      <c r="R33" s="7"/>
    </row>
    <row r="34" ht="16.6" customHeight="1">
      <c r="A34" s="7"/>
      <c r="B34" s="7"/>
      <c r="C34" s="7"/>
      <c r="D34" s="7"/>
      <c r="E34" s="7"/>
      <c r="F34" s="7"/>
      <c r="G34" s="7"/>
      <c r="H34" s="7"/>
      <c r="I34" s="7"/>
      <c r="J34" s="7"/>
      <c r="K34" s="7"/>
      <c r="L34" s="7"/>
      <c r="M34" s="7"/>
      <c r="N34" s="7"/>
      <c r="O34" s="7"/>
      <c r="P34" s="7"/>
      <c r="Q34" s="7"/>
      <c r="R34" s="7"/>
    </row>
    <row r="35" ht="16.6" customHeight="1">
      <c r="A35" s="7"/>
      <c r="B35" s="7"/>
      <c r="C35" s="7"/>
      <c r="D35" s="7"/>
      <c r="E35" s="7"/>
      <c r="F35" s="7"/>
      <c r="G35" s="7"/>
      <c r="H35" s="7"/>
      <c r="I35" s="7"/>
      <c r="J35" s="7"/>
      <c r="K35" s="7"/>
      <c r="L35" s="7"/>
      <c r="M35" s="7"/>
      <c r="N35" s="7"/>
      <c r="O35" s="7"/>
      <c r="P35" s="7"/>
      <c r="Q35" s="7"/>
      <c r="R35" s="7"/>
    </row>
    <row r="36" ht="16.6" customHeight="1">
      <c r="A36" s="7"/>
      <c r="B36" s="7"/>
      <c r="C36" s="100">
        <v>1</v>
      </c>
      <c r="D36" s="7"/>
      <c r="E36" s="7"/>
      <c r="F36" s="7"/>
      <c r="G36" s="7"/>
      <c r="H36" s="7"/>
      <c r="I36" s="7"/>
      <c r="J36" s="7"/>
      <c r="K36" s="7"/>
      <c r="L36" s="7"/>
      <c r="M36" s="7"/>
      <c r="N36" s="7"/>
      <c r="O36" s="7"/>
      <c r="P36" s="7"/>
      <c r="Q36" s="7"/>
      <c r="R36" s="7"/>
    </row>
    <row r="37" ht="16.6" customHeight="1">
      <c r="A37" s="7"/>
      <c r="B37" s="7"/>
      <c r="C37" s="7"/>
      <c r="D37" s="7"/>
      <c r="E37" s="7"/>
      <c r="F37" s="7"/>
      <c r="G37" s="7"/>
      <c r="H37" s="7"/>
      <c r="I37" s="7"/>
      <c r="J37" s="7"/>
      <c r="K37" s="7"/>
      <c r="L37" s="7"/>
      <c r="M37" s="7"/>
      <c r="N37" s="7"/>
      <c r="O37" s="7"/>
      <c r="P37" s="7"/>
      <c r="Q37" s="7"/>
      <c r="R37" s="7"/>
    </row>
    <row r="38" ht="16.6" customHeight="1">
      <c r="A38" s="7"/>
      <c r="B38" s="7"/>
      <c r="C38" s="7"/>
      <c r="D38" s="7"/>
      <c r="E38" s="7"/>
      <c r="F38" s="7"/>
      <c r="G38" s="7"/>
      <c r="H38" s="7"/>
      <c r="I38" s="7"/>
      <c r="J38" s="7"/>
      <c r="K38" s="7"/>
      <c r="L38" s="7"/>
      <c r="M38" s="7"/>
      <c r="N38" s="7"/>
      <c r="O38" s="7"/>
      <c r="P38" s="7"/>
      <c r="Q38" s="7"/>
      <c r="R38" s="7"/>
    </row>
    <row r="39" ht="16.6" customHeight="1">
      <c r="A39" s="7"/>
      <c r="B39" s="7"/>
      <c r="C39" s="7"/>
      <c r="D39" s="7"/>
      <c r="E39" s="7"/>
      <c r="F39" s="7"/>
      <c r="G39" s="7"/>
      <c r="H39" s="7"/>
      <c r="I39" s="7"/>
      <c r="J39" s="7"/>
      <c r="K39" s="7"/>
      <c r="L39" s="7"/>
      <c r="M39" s="7"/>
      <c r="N39" s="7"/>
      <c r="O39" s="7"/>
      <c r="P39" s="7"/>
      <c r="Q39" s="7"/>
      <c r="R39" s="7"/>
    </row>
    <row r="40" ht="16.6" customHeight="1">
      <c r="A40" s="7"/>
      <c r="B40" s="7"/>
      <c r="C40" s="7"/>
      <c r="D40" s="7"/>
      <c r="E40" s="7"/>
      <c r="F40" s="7"/>
      <c r="G40" s="7"/>
      <c r="H40" s="7"/>
      <c r="I40" s="7"/>
      <c r="J40" s="7"/>
      <c r="K40" s="7"/>
      <c r="L40" s="7"/>
      <c r="M40" s="7"/>
      <c r="N40" s="7"/>
      <c r="O40" s="7"/>
      <c r="P40" s="7"/>
      <c r="Q40" s="7"/>
      <c r="R40" s="7"/>
    </row>
    <row r="41" ht="16.6" customHeight="1">
      <c r="A41" s="7"/>
      <c r="B41" s="7"/>
      <c r="C41" s="7"/>
      <c r="D41" s="7"/>
      <c r="E41" s="7"/>
      <c r="F41" s="7"/>
      <c r="G41" s="7"/>
      <c r="H41" s="7"/>
      <c r="I41" s="7"/>
      <c r="J41" s="7"/>
      <c r="K41" s="7"/>
      <c r="L41" s="7"/>
      <c r="M41" s="7"/>
      <c r="N41" s="7"/>
      <c r="O41" s="7"/>
      <c r="P41" s="7"/>
      <c r="Q41" s="7"/>
      <c r="R41" s="7"/>
    </row>
    <row r="42" ht="16.6" customHeight="1">
      <c r="A42" s="7"/>
      <c r="B42" s="7"/>
      <c r="C42" s="7"/>
      <c r="D42" s="7"/>
      <c r="E42" s="7"/>
      <c r="F42" s="7"/>
      <c r="G42" s="7"/>
      <c r="H42" s="7"/>
      <c r="I42" s="7"/>
      <c r="J42" s="7"/>
      <c r="K42" s="7"/>
      <c r="L42" s="7"/>
      <c r="M42" s="7"/>
      <c r="N42" s="7"/>
      <c r="O42" s="7"/>
      <c r="P42" s="7"/>
      <c r="Q42" s="7"/>
      <c r="R42" s="7"/>
    </row>
    <row r="43" ht="16.6" customHeight="1">
      <c r="A43" s="7"/>
      <c r="B43" s="7"/>
      <c r="C43" s="100">
        <v>1</v>
      </c>
      <c r="D43" s="7"/>
      <c r="E43" s="7"/>
      <c r="F43" s="7"/>
      <c r="G43" s="7"/>
      <c r="H43" s="7"/>
      <c r="I43" s="7"/>
      <c r="J43" s="7"/>
      <c r="K43" s="7"/>
      <c r="L43" s="7"/>
      <c r="M43" s="7"/>
      <c r="N43" s="7"/>
      <c r="O43" s="7"/>
      <c r="P43" s="7"/>
      <c r="Q43" s="7"/>
      <c r="R43" s="7"/>
    </row>
    <row r="44" ht="16.6" customHeight="1">
      <c r="A44" s="7"/>
      <c r="B44" s="7"/>
      <c r="C44" s="7"/>
      <c r="D44" s="7"/>
      <c r="E44" s="7"/>
      <c r="F44" s="7"/>
      <c r="G44" s="7"/>
      <c r="H44" s="7"/>
      <c r="I44" s="7"/>
      <c r="J44" s="7"/>
      <c r="K44" s="7"/>
      <c r="L44" s="7"/>
      <c r="M44" s="7"/>
      <c r="N44" s="7"/>
      <c r="O44" s="7"/>
      <c r="P44" s="7"/>
      <c r="Q44" s="7"/>
      <c r="R44" s="7"/>
    </row>
    <row r="45" ht="16.6" customHeight="1">
      <c r="A45" s="7"/>
      <c r="B45" s="7"/>
      <c r="C45" s="7"/>
      <c r="D45" s="7"/>
      <c r="E45" s="7"/>
      <c r="F45" s="7"/>
      <c r="G45" s="7"/>
      <c r="H45" s="7"/>
      <c r="I45" s="7"/>
      <c r="J45" s="7"/>
      <c r="K45" s="7"/>
      <c r="L45" s="7"/>
      <c r="M45" s="7"/>
      <c r="N45" s="7"/>
      <c r="O45" s="7"/>
      <c r="P45" s="7"/>
      <c r="Q45" s="7"/>
      <c r="R45" s="7"/>
    </row>
    <row r="46" ht="16.6" customHeight="1">
      <c r="A46" s="7"/>
      <c r="B46" s="7"/>
      <c r="C46" s="7"/>
      <c r="D46" s="7"/>
      <c r="E46" s="7"/>
      <c r="F46" s="7"/>
      <c r="G46" s="7"/>
      <c r="H46" s="7"/>
      <c r="I46" s="7"/>
      <c r="J46" s="7"/>
      <c r="K46" s="7"/>
      <c r="L46" s="7"/>
      <c r="M46" s="7"/>
      <c r="N46" s="7"/>
      <c r="O46" s="7"/>
      <c r="P46" s="7"/>
      <c r="Q46" s="7"/>
      <c r="R46" s="7"/>
    </row>
    <row r="47" ht="16.6" customHeight="1">
      <c r="A47" s="7"/>
      <c r="B47" s="7"/>
      <c r="C47" s="7"/>
      <c r="D47" s="7"/>
      <c r="E47" s="7"/>
      <c r="F47" s="7"/>
      <c r="G47" s="7"/>
      <c r="H47" s="7"/>
      <c r="I47" s="7"/>
      <c r="J47" s="7"/>
      <c r="K47" s="7"/>
      <c r="L47" s="7"/>
      <c r="M47" s="7"/>
      <c r="N47" s="7"/>
      <c r="O47" s="7"/>
      <c r="P47" s="7"/>
      <c r="Q47" s="7"/>
      <c r="R47" s="7"/>
    </row>
    <row r="48" ht="16.6" customHeight="1">
      <c r="A48" s="7"/>
      <c r="B48" s="7"/>
      <c r="C48" s="7"/>
      <c r="D48" s="7"/>
      <c r="E48" s="7"/>
      <c r="F48" s="7"/>
      <c r="G48" s="7"/>
      <c r="H48" s="7"/>
      <c r="I48" s="7"/>
      <c r="J48" s="7"/>
      <c r="K48" s="7"/>
      <c r="L48" s="7"/>
      <c r="M48" s="7"/>
      <c r="N48" s="7"/>
      <c r="O48" s="7"/>
      <c r="P48" s="7"/>
      <c r="Q48" s="7"/>
      <c r="R48" s="7"/>
    </row>
    <row r="49" ht="16.6" customHeight="1">
      <c r="A49" s="7"/>
      <c r="B49" s="7"/>
      <c r="C49" s="7"/>
      <c r="D49" s="7"/>
      <c r="E49" s="7"/>
      <c r="F49" s="7"/>
      <c r="G49" s="7"/>
      <c r="H49" s="7"/>
      <c r="I49" s="7"/>
      <c r="J49" s="7"/>
      <c r="K49" s="7"/>
      <c r="L49" s="7"/>
      <c r="M49" s="7"/>
      <c r="N49" s="7"/>
      <c r="O49" s="7"/>
      <c r="P49" s="7"/>
      <c r="Q49" s="7"/>
      <c r="R49" s="7"/>
    </row>
    <row r="50" ht="16.6" customHeight="1">
      <c r="A50" s="7"/>
      <c r="B50" s="7"/>
      <c r="C50" s="7"/>
      <c r="D50" s="7"/>
      <c r="E50" s="7"/>
      <c r="F50" s="7"/>
      <c r="G50" s="7"/>
      <c r="H50" s="7"/>
      <c r="I50" s="7"/>
      <c r="J50" s="7"/>
      <c r="K50" s="7"/>
      <c r="L50" s="7"/>
      <c r="M50" s="7"/>
      <c r="N50" s="7"/>
      <c r="O50" s="7"/>
      <c r="P50" s="7"/>
      <c r="Q50" s="7"/>
      <c r="R50" s="7"/>
    </row>
    <row r="51" ht="16.6" customHeight="1">
      <c r="A51" s="7"/>
      <c r="B51" s="7"/>
      <c r="C51" s="7"/>
      <c r="D51" s="7"/>
      <c r="E51" s="7"/>
      <c r="F51" s="7"/>
      <c r="G51" s="7"/>
      <c r="H51" s="7"/>
      <c r="I51" s="7"/>
      <c r="J51" s="7"/>
      <c r="K51" s="7"/>
      <c r="L51" s="7"/>
      <c r="M51" s="7"/>
      <c r="N51" s="7"/>
      <c r="O51" s="7"/>
      <c r="P51" s="7"/>
      <c r="Q51" s="7"/>
      <c r="R51" s="7"/>
    </row>
    <row r="52" ht="16.6" customHeight="1">
      <c r="A52" s="7"/>
      <c r="B52" s="7"/>
      <c r="C52" s="7"/>
      <c r="D52" s="7"/>
      <c r="E52" s="7"/>
      <c r="F52" s="7"/>
      <c r="G52" s="7"/>
      <c r="H52" s="7"/>
      <c r="I52" s="7"/>
      <c r="J52" s="7"/>
      <c r="K52" s="7"/>
      <c r="L52" s="7"/>
      <c r="M52" s="7"/>
      <c r="N52" s="7"/>
      <c r="O52" s="7"/>
      <c r="P52" s="7"/>
      <c r="Q52" s="7"/>
      <c r="R52" s="7"/>
    </row>
    <row r="53" ht="16.6" customHeight="1">
      <c r="A53" s="7"/>
      <c r="B53" s="7"/>
      <c r="C53" s="7"/>
      <c r="D53" s="7"/>
      <c r="E53" s="7"/>
      <c r="F53" s="7"/>
      <c r="G53" s="7"/>
      <c r="H53" s="7"/>
      <c r="I53" s="7"/>
      <c r="J53" s="7"/>
      <c r="K53" s="7"/>
      <c r="L53" s="7"/>
      <c r="M53" s="7"/>
      <c r="N53" s="7"/>
      <c r="O53" s="7"/>
      <c r="P53" s="7"/>
      <c r="Q53" s="7"/>
      <c r="R53" s="7"/>
    </row>
    <row r="54" ht="16.6" customHeight="1">
      <c r="A54" s="7"/>
      <c r="B54" s="7"/>
      <c r="C54" s="7"/>
      <c r="D54" s="7"/>
      <c r="E54" s="7"/>
      <c r="F54" s="7"/>
      <c r="G54" s="7"/>
      <c r="H54" s="7"/>
      <c r="I54" s="7"/>
      <c r="J54" s="7"/>
      <c r="K54" s="7"/>
      <c r="L54" s="7"/>
      <c r="M54" s="7"/>
      <c r="N54" s="7"/>
      <c r="O54" s="7"/>
      <c r="P54" s="7"/>
      <c r="Q54" s="7"/>
      <c r="R54" s="7"/>
    </row>
    <row r="55" ht="16.6" customHeight="1">
      <c r="A55" s="7"/>
      <c r="B55" s="7"/>
      <c r="C55" s="7"/>
      <c r="D55" s="7"/>
      <c r="E55" s="7"/>
      <c r="F55" s="7"/>
      <c r="G55" s="7"/>
      <c r="H55" s="7"/>
      <c r="I55" s="7"/>
      <c r="J55" s="7"/>
      <c r="K55" s="7"/>
      <c r="L55" s="7"/>
      <c r="M55" s="7"/>
      <c r="N55" s="7"/>
      <c r="O55" s="7"/>
      <c r="P55" s="7"/>
      <c r="Q55" s="7"/>
      <c r="R55" s="7"/>
    </row>
    <row r="56" ht="16.6" customHeight="1">
      <c r="A56" s="7"/>
      <c r="B56" s="7"/>
      <c r="C56" s="7"/>
      <c r="D56" s="7"/>
      <c r="E56" s="7"/>
      <c r="F56" s="7"/>
      <c r="G56" s="7"/>
      <c r="H56" s="7"/>
      <c r="I56" s="7"/>
      <c r="J56" s="7"/>
      <c r="K56" s="7"/>
      <c r="L56" s="7"/>
      <c r="M56" s="7"/>
      <c r="N56" s="7"/>
      <c r="O56" s="7"/>
      <c r="P56" s="7"/>
      <c r="Q56" s="7"/>
      <c r="R56" s="7"/>
    </row>
    <row r="57" ht="16.6" customHeight="1">
      <c r="A57" s="7"/>
      <c r="B57" s="7"/>
      <c r="C57" s="100">
        <v>1</v>
      </c>
      <c r="D57" s="7"/>
      <c r="E57" s="7"/>
      <c r="F57" s="7"/>
      <c r="G57" s="7"/>
      <c r="H57" s="7"/>
      <c r="I57" s="7"/>
      <c r="J57" s="7"/>
      <c r="K57" s="7"/>
      <c r="L57" s="7"/>
      <c r="M57" s="7"/>
      <c r="N57" s="7"/>
      <c r="O57" s="7"/>
      <c r="P57" s="7"/>
      <c r="Q57" s="7"/>
      <c r="R57" s="7"/>
    </row>
    <row r="58" ht="16.6" customHeight="1">
      <c r="A58" s="7"/>
      <c r="B58" s="7"/>
      <c r="C58" s="100">
        <v>1</v>
      </c>
      <c r="D58" s="7"/>
      <c r="E58" s="7"/>
      <c r="F58" s="7"/>
      <c r="G58" s="7"/>
      <c r="H58" s="7"/>
      <c r="I58" s="7"/>
      <c r="J58" s="7"/>
      <c r="K58" s="7"/>
      <c r="L58" s="7"/>
      <c r="M58" s="7"/>
      <c r="N58" s="7"/>
      <c r="O58" s="7"/>
      <c r="P58" s="7"/>
      <c r="Q58" s="7"/>
      <c r="R58" s="7"/>
    </row>
    <row r="59" ht="16.6" customHeight="1">
      <c r="A59" s="7"/>
      <c r="B59" s="7"/>
      <c r="C59" s="7"/>
      <c r="D59" s="7"/>
      <c r="E59" s="7"/>
      <c r="F59" s="7"/>
      <c r="G59" s="7"/>
      <c r="H59" s="7"/>
      <c r="I59" s="7"/>
      <c r="J59" s="7"/>
      <c r="K59" s="7"/>
      <c r="L59" s="7"/>
      <c r="M59" s="7"/>
      <c r="N59" s="7"/>
      <c r="O59" s="7"/>
      <c r="P59" s="7"/>
      <c r="Q59" s="7"/>
      <c r="R59" s="7"/>
    </row>
    <row r="60" ht="16.6" customHeight="1">
      <c r="A60" s="7"/>
      <c r="B60" s="7"/>
      <c r="C60" s="7"/>
      <c r="D60" s="7"/>
      <c r="E60" s="7"/>
      <c r="F60" s="7"/>
      <c r="G60" s="7"/>
      <c r="H60" s="7"/>
      <c r="I60" s="7"/>
      <c r="J60" s="7"/>
      <c r="K60" s="7"/>
      <c r="L60" s="7"/>
      <c r="M60" s="7"/>
      <c r="N60" s="7"/>
      <c r="O60" s="7"/>
      <c r="P60" s="7"/>
      <c r="Q60" s="7"/>
      <c r="R60" s="7"/>
    </row>
    <row r="61" ht="16.6" customHeight="1">
      <c r="A61" s="7"/>
      <c r="B61" s="7"/>
      <c r="C61" s="7"/>
      <c r="D61" s="7"/>
      <c r="E61" s="7"/>
      <c r="F61" s="7"/>
      <c r="G61" s="7"/>
      <c r="H61" s="7"/>
      <c r="I61" s="7"/>
      <c r="J61" s="7"/>
      <c r="K61" s="7"/>
      <c r="L61" s="7"/>
      <c r="M61" s="7"/>
      <c r="N61" s="7"/>
      <c r="O61" s="7"/>
      <c r="P61" s="7"/>
      <c r="Q61" s="7"/>
      <c r="R61" s="7"/>
    </row>
    <row r="62" ht="16.6" customHeight="1">
      <c r="A62" s="7"/>
      <c r="B62" s="7"/>
      <c r="C62" s="7"/>
      <c r="D62" s="7"/>
      <c r="E62" s="7"/>
      <c r="F62" s="7"/>
      <c r="G62" s="7"/>
      <c r="H62" s="7"/>
      <c r="I62" s="7"/>
      <c r="J62" s="7"/>
      <c r="K62" s="7"/>
      <c r="L62" s="7"/>
      <c r="M62" s="7"/>
      <c r="N62" s="7"/>
      <c r="O62" s="7"/>
      <c r="P62" s="7"/>
      <c r="Q62" s="7"/>
      <c r="R62" s="7"/>
    </row>
    <row r="63" ht="16.6" customHeight="1">
      <c r="A63" s="7"/>
      <c r="B63" s="7"/>
      <c r="C63" s="7"/>
      <c r="D63" s="7"/>
      <c r="E63" s="7"/>
      <c r="F63" s="7"/>
      <c r="G63" s="7"/>
      <c r="H63" s="7"/>
      <c r="I63" s="7"/>
      <c r="J63" s="7"/>
      <c r="K63" s="7"/>
      <c r="L63" s="7"/>
      <c r="M63" s="7"/>
      <c r="N63" s="7"/>
      <c r="O63" s="7"/>
      <c r="P63" s="7"/>
      <c r="Q63" s="7"/>
      <c r="R63" s="7"/>
    </row>
    <row r="64" ht="16.6" customHeight="1">
      <c r="A64" s="7"/>
      <c r="B64" s="7"/>
      <c r="C64" s="7"/>
      <c r="D64" s="7"/>
      <c r="E64" s="7"/>
      <c r="F64" s="7"/>
      <c r="G64" s="7"/>
      <c r="H64" s="7"/>
      <c r="I64" s="7"/>
      <c r="J64" s="7"/>
      <c r="K64" s="7"/>
      <c r="L64" s="7"/>
      <c r="M64" s="7"/>
      <c r="N64" s="7"/>
      <c r="O64" s="7"/>
      <c r="P64" s="7"/>
      <c r="Q64" s="7"/>
      <c r="R64" s="7"/>
    </row>
    <row r="65" ht="16.6" customHeight="1">
      <c r="A65" s="7"/>
      <c r="B65" s="7"/>
      <c r="C65" s="7"/>
      <c r="D65" s="7"/>
      <c r="E65" s="7"/>
      <c r="F65" s="7"/>
      <c r="G65" s="7"/>
      <c r="H65" s="7"/>
      <c r="I65" s="7"/>
      <c r="J65" s="7"/>
      <c r="K65" s="7"/>
      <c r="L65" s="7"/>
      <c r="M65" s="7"/>
      <c r="N65" s="7"/>
      <c r="O65" s="7"/>
      <c r="P65" s="7"/>
      <c r="Q65" s="7"/>
      <c r="R65" s="7"/>
    </row>
    <row r="66" ht="16.6" customHeight="1">
      <c r="A66" s="7"/>
      <c r="B66" s="7"/>
      <c r="C66" s="7"/>
      <c r="D66" s="7"/>
      <c r="E66" s="7"/>
      <c r="F66" s="7"/>
      <c r="G66" s="7"/>
      <c r="H66" s="7"/>
      <c r="I66" s="7"/>
      <c r="J66" s="7"/>
      <c r="K66" s="7"/>
      <c r="L66" s="7"/>
      <c r="M66" s="7"/>
      <c r="N66" s="7"/>
      <c r="O66" s="7"/>
      <c r="P66" s="7"/>
      <c r="Q66" s="7"/>
      <c r="R66" s="7"/>
    </row>
    <row r="67" ht="16.6" customHeight="1">
      <c r="A67" s="7"/>
      <c r="B67" s="7"/>
      <c r="C67" s="100">
        <v>1</v>
      </c>
      <c r="D67" s="7"/>
      <c r="E67" s="7"/>
      <c r="F67" s="7"/>
      <c r="G67" s="7"/>
      <c r="H67" s="7"/>
      <c r="I67" s="7"/>
      <c r="J67" s="7"/>
      <c r="K67" s="7"/>
      <c r="L67" s="7"/>
      <c r="M67" s="7"/>
      <c r="N67" s="7"/>
      <c r="O67" s="7"/>
      <c r="P67" s="7"/>
      <c r="Q67" s="7"/>
      <c r="R67" s="7"/>
    </row>
    <row r="68" ht="16.6" customHeight="1">
      <c r="A68" s="7"/>
      <c r="B68" s="7"/>
      <c r="C68" s="100">
        <v>1</v>
      </c>
      <c r="D68" s="7"/>
      <c r="E68" s="7"/>
      <c r="F68" s="7"/>
      <c r="G68" s="7"/>
      <c r="H68" s="7"/>
      <c r="I68" s="7"/>
      <c r="J68" s="7"/>
      <c r="K68" s="7"/>
      <c r="L68" s="7"/>
      <c r="M68" s="7"/>
      <c r="N68" s="7"/>
      <c r="O68" s="7"/>
      <c r="P68" s="7"/>
      <c r="Q68" s="7"/>
      <c r="R68" s="7"/>
    </row>
    <row r="69" ht="16.6" customHeight="1">
      <c r="A69" s="7"/>
      <c r="B69" s="7"/>
      <c r="C69" s="100">
        <v>1</v>
      </c>
      <c r="D69" s="7"/>
      <c r="E69" s="7"/>
      <c r="F69" s="7"/>
      <c r="G69" s="7"/>
      <c r="H69" s="7"/>
      <c r="I69" s="7"/>
      <c r="J69" s="7"/>
      <c r="K69" s="7"/>
      <c r="L69" s="7"/>
      <c r="M69" s="7"/>
      <c r="N69" s="7"/>
      <c r="O69" s="7"/>
      <c r="P69" s="7"/>
      <c r="Q69" s="7"/>
      <c r="R69" s="7"/>
    </row>
    <row r="70" ht="16.6" customHeight="1">
      <c r="A70" s="7"/>
      <c r="B70" s="7"/>
      <c r="C70" s="100">
        <v>1</v>
      </c>
      <c r="D70" s="7"/>
      <c r="E70" s="7"/>
      <c r="F70" s="7"/>
      <c r="G70" s="7"/>
      <c r="H70" s="7"/>
      <c r="I70" s="7"/>
      <c r="J70" s="7"/>
      <c r="K70" s="7"/>
      <c r="L70" s="7"/>
      <c r="M70" s="7"/>
      <c r="N70" s="7"/>
      <c r="O70" s="7"/>
      <c r="P70" s="7"/>
      <c r="Q70" s="7"/>
      <c r="R70" s="7"/>
    </row>
    <row r="71" ht="16.6" customHeight="1">
      <c r="A71" s="7"/>
      <c r="B71" s="7"/>
      <c r="C71" s="100">
        <v>1</v>
      </c>
      <c r="D71" s="7"/>
      <c r="E71" s="7"/>
      <c r="F71" s="7"/>
      <c r="G71" s="7"/>
      <c r="H71" s="7"/>
      <c r="I71" s="7"/>
      <c r="J71" s="7"/>
      <c r="K71" s="7"/>
      <c r="L71" s="7"/>
      <c r="M71" s="7"/>
      <c r="N71" s="7"/>
      <c r="O71" s="7"/>
      <c r="P71" s="7"/>
      <c r="Q71" s="7"/>
      <c r="R71" s="7"/>
    </row>
    <row r="72" ht="16.6" customHeight="1">
      <c r="A72" s="7"/>
      <c r="B72" s="7"/>
      <c r="C72" s="7"/>
      <c r="D72" s="7"/>
      <c r="E72" s="7"/>
      <c r="F72" s="7"/>
      <c r="G72" s="7"/>
      <c r="H72" s="7"/>
      <c r="I72" s="7"/>
      <c r="J72" s="7"/>
      <c r="K72" s="7"/>
      <c r="L72" s="7"/>
      <c r="M72" s="7"/>
      <c r="N72" s="7"/>
      <c r="O72" s="7"/>
      <c r="P72" s="7"/>
      <c r="Q72" s="7"/>
      <c r="R72" s="7"/>
    </row>
    <row r="73" ht="16.6" customHeight="1">
      <c r="A73" s="7"/>
      <c r="B73" s="7"/>
      <c r="C73" s="7"/>
      <c r="D73" s="7"/>
      <c r="E73" s="7"/>
      <c r="F73" s="7"/>
      <c r="G73" s="7"/>
      <c r="H73" s="7"/>
      <c r="I73" s="7"/>
      <c r="J73" s="7"/>
      <c r="K73" s="7"/>
      <c r="L73" s="7"/>
      <c r="M73" s="7"/>
      <c r="N73" s="7"/>
      <c r="O73" s="7"/>
      <c r="P73" s="7"/>
      <c r="Q73" s="7"/>
      <c r="R73" s="7"/>
    </row>
    <row r="74" ht="16.6" customHeight="1">
      <c r="A74" s="7"/>
      <c r="B74" s="7"/>
      <c r="C74" s="7"/>
      <c r="D74" s="7"/>
      <c r="E74" s="7"/>
      <c r="F74" s="7"/>
      <c r="G74" s="7"/>
      <c r="H74" s="7"/>
      <c r="I74" s="7"/>
      <c r="J74" s="7"/>
      <c r="K74" s="7"/>
      <c r="L74" s="7"/>
      <c r="M74" s="7"/>
      <c r="N74" s="7"/>
      <c r="O74" s="7"/>
      <c r="P74" s="7"/>
      <c r="Q74" s="7"/>
      <c r="R74" s="7"/>
    </row>
    <row r="75" ht="16.6" customHeight="1">
      <c r="A75" s="7"/>
      <c r="B75" s="7"/>
      <c r="C75" s="7"/>
      <c r="D75" s="7"/>
      <c r="E75" s="7"/>
      <c r="F75" s="7"/>
      <c r="G75" s="7"/>
      <c r="H75" s="7"/>
      <c r="I75" s="7"/>
      <c r="J75" s="7"/>
      <c r="K75" s="7"/>
      <c r="L75" s="7"/>
      <c r="M75" s="7"/>
      <c r="N75" s="7"/>
      <c r="O75" s="7"/>
      <c r="P75" s="7"/>
      <c r="Q75" s="7"/>
      <c r="R75" s="7"/>
    </row>
    <row r="76" ht="16.6" customHeight="1">
      <c r="A76" s="7"/>
      <c r="B76" s="7"/>
      <c r="C76" s="7"/>
      <c r="D76" s="7"/>
      <c r="E76" s="7"/>
      <c r="F76" s="7"/>
      <c r="G76" s="7"/>
      <c r="H76" s="7"/>
      <c r="I76" s="7"/>
      <c r="J76" s="7"/>
      <c r="K76" s="7"/>
      <c r="L76" s="7"/>
      <c r="M76" s="7"/>
      <c r="N76" s="7"/>
      <c r="O76" s="7"/>
      <c r="P76" s="7"/>
      <c r="Q76" s="7"/>
      <c r="R76" s="7"/>
    </row>
    <row r="77" ht="16.6" customHeight="1">
      <c r="A77" s="7"/>
      <c r="B77" s="7"/>
      <c r="C77" s="7"/>
      <c r="D77" s="7"/>
      <c r="E77" s="7"/>
      <c r="F77" s="7"/>
      <c r="G77" s="7"/>
      <c r="H77" s="7"/>
      <c r="I77" s="7"/>
      <c r="J77" s="7"/>
      <c r="K77" s="7"/>
      <c r="L77" s="7"/>
      <c r="M77" s="7"/>
      <c r="N77" s="7"/>
      <c r="O77" s="7"/>
      <c r="P77" s="7"/>
      <c r="Q77" s="7"/>
      <c r="R77" s="7"/>
    </row>
    <row r="78" ht="16.6" customHeight="1">
      <c r="A78" s="7"/>
      <c r="B78" s="7"/>
      <c r="C78" s="7"/>
      <c r="D78" s="7"/>
      <c r="E78" s="7"/>
      <c r="F78" s="7"/>
      <c r="G78" s="7"/>
      <c r="H78" s="7"/>
      <c r="I78" s="7"/>
      <c r="J78" s="7"/>
      <c r="K78" s="7"/>
      <c r="L78" s="7"/>
      <c r="M78" s="7"/>
      <c r="N78" s="7"/>
      <c r="O78" s="7"/>
      <c r="P78" s="7"/>
      <c r="Q78" s="7"/>
      <c r="R78" s="7"/>
    </row>
    <row r="79" ht="16.6" customHeight="1">
      <c r="A79" s="7"/>
      <c r="B79" s="7"/>
      <c r="C79" s="7"/>
      <c r="D79" s="7"/>
      <c r="E79" s="7"/>
      <c r="F79" s="7"/>
      <c r="G79" s="7"/>
      <c r="H79" s="7"/>
      <c r="I79" s="7"/>
      <c r="J79" s="7"/>
      <c r="K79" s="7"/>
      <c r="L79" s="7"/>
      <c r="M79" s="7"/>
      <c r="N79" s="7"/>
      <c r="O79" s="7"/>
      <c r="P79" s="7"/>
      <c r="Q79" s="7"/>
      <c r="R79" s="7"/>
    </row>
    <row r="80" ht="16.6" customHeight="1">
      <c r="A80" s="7"/>
      <c r="B80" s="7"/>
      <c r="C80" s="7"/>
      <c r="D80" s="7"/>
      <c r="E80" s="7"/>
      <c r="F80" s="7"/>
      <c r="G80" s="7"/>
      <c r="H80" s="7"/>
      <c r="I80" s="7"/>
      <c r="J80" s="7"/>
      <c r="K80" s="7"/>
      <c r="L80" s="7"/>
      <c r="M80" s="7"/>
      <c r="N80" s="7"/>
      <c r="O80" s="7"/>
      <c r="P80" s="7"/>
      <c r="Q80" s="7"/>
      <c r="R80" s="7"/>
    </row>
    <row r="81" ht="16.6" customHeight="1">
      <c r="A81" s="7"/>
      <c r="B81" s="7"/>
      <c r="C81" s="7"/>
      <c r="D81" s="7"/>
      <c r="E81" s="7"/>
      <c r="F81" s="7"/>
      <c r="G81" s="7"/>
      <c r="H81" s="7"/>
      <c r="I81" s="7"/>
      <c r="J81" s="7"/>
      <c r="K81" s="7"/>
      <c r="L81" s="7"/>
      <c r="M81" s="7"/>
      <c r="N81" s="7"/>
      <c r="O81" s="7"/>
      <c r="P81" s="7"/>
      <c r="Q81" s="7"/>
      <c r="R81" s="7"/>
    </row>
    <row r="82" ht="16.6" customHeight="1">
      <c r="A82" s="7"/>
      <c r="B82" s="7"/>
      <c r="C82" s="7"/>
      <c r="D82" s="7"/>
      <c r="E82" s="7"/>
      <c r="F82" s="7"/>
      <c r="G82" s="7"/>
      <c r="H82" s="7"/>
      <c r="I82" s="7"/>
      <c r="J82" s="7"/>
      <c r="K82" s="7"/>
      <c r="L82" s="7"/>
      <c r="M82" s="7"/>
      <c r="N82" s="7"/>
      <c r="O82" s="7"/>
      <c r="P82" s="7"/>
      <c r="Q82" s="7"/>
      <c r="R82" s="7"/>
    </row>
    <row r="83" ht="16.6" customHeight="1">
      <c r="A83" s="7"/>
      <c r="B83" s="7"/>
      <c r="C83" s="7"/>
      <c r="D83" s="7"/>
      <c r="E83" s="7"/>
      <c r="F83" s="7"/>
      <c r="G83" s="7"/>
      <c r="H83" s="7"/>
      <c r="I83" s="7"/>
      <c r="J83" s="7"/>
      <c r="K83" s="7"/>
      <c r="L83" s="7"/>
      <c r="M83" s="7"/>
      <c r="N83" s="7"/>
      <c r="O83" s="7"/>
      <c r="P83" s="7"/>
      <c r="Q83" s="7"/>
      <c r="R83" s="7"/>
    </row>
    <row r="84" ht="16.6" customHeight="1">
      <c r="A84" s="7"/>
      <c r="B84" s="7"/>
      <c r="C84" s="7"/>
      <c r="D84" s="7"/>
      <c r="E84" s="7"/>
      <c r="F84" s="7"/>
      <c r="G84" s="7"/>
      <c r="H84" s="7"/>
      <c r="I84" s="7"/>
      <c r="J84" s="7"/>
      <c r="K84" s="7"/>
      <c r="L84" s="7"/>
      <c r="M84" s="7"/>
      <c r="N84" s="7"/>
      <c r="O84" s="7"/>
      <c r="P84" s="7"/>
      <c r="Q84" s="7"/>
      <c r="R84" s="7"/>
    </row>
    <row r="85" ht="16.6" customHeight="1">
      <c r="A85" s="7"/>
      <c r="B85" s="7"/>
      <c r="C85" s="7"/>
      <c r="D85" s="7"/>
      <c r="E85" s="7"/>
      <c r="F85" s="7"/>
      <c r="G85" s="7"/>
      <c r="H85" s="7"/>
      <c r="I85" s="7"/>
      <c r="J85" s="7"/>
      <c r="K85" s="7"/>
      <c r="L85" s="7"/>
      <c r="M85" s="7"/>
      <c r="N85" s="7"/>
      <c r="O85" s="7"/>
      <c r="P85" s="7"/>
      <c r="Q85" s="7"/>
      <c r="R85" s="7"/>
    </row>
    <row r="86" ht="16.6" customHeight="1">
      <c r="A86" s="7"/>
      <c r="B86" s="7"/>
      <c r="C86" s="7"/>
      <c r="D86" s="7"/>
      <c r="E86" s="7"/>
      <c r="F86" s="7"/>
      <c r="G86" s="7"/>
      <c r="H86" s="7"/>
      <c r="I86" s="7"/>
      <c r="J86" s="7"/>
      <c r="K86" s="7"/>
      <c r="L86" s="7"/>
      <c r="M86" s="7"/>
      <c r="N86" s="7"/>
      <c r="O86" s="7"/>
      <c r="P86" s="7"/>
      <c r="Q86" s="7"/>
      <c r="R86" s="7"/>
    </row>
    <row r="87" ht="16.6" customHeight="1">
      <c r="A87" s="7"/>
      <c r="B87" s="7"/>
      <c r="C87" s="100">
        <v>1</v>
      </c>
      <c r="D87" s="7"/>
      <c r="E87" s="7"/>
      <c r="F87" s="7"/>
      <c r="G87" s="7"/>
      <c r="H87" s="7"/>
      <c r="I87" s="7"/>
      <c r="J87" s="7"/>
      <c r="K87" s="7"/>
      <c r="L87" s="7"/>
      <c r="M87" s="7"/>
      <c r="N87" s="7"/>
      <c r="O87" s="7"/>
      <c r="P87" s="7"/>
      <c r="Q87" s="7"/>
      <c r="R87" s="7"/>
    </row>
    <row r="88" ht="16.6" customHeight="1">
      <c r="A88" s="7"/>
      <c r="B88" s="7"/>
      <c r="C88" s="100">
        <v>1</v>
      </c>
      <c r="D88" s="7"/>
      <c r="E88" s="7"/>
      <c r="F88" s="7"/>
      <c r="G88" s="7"/>
      <c r="H88" s="7"/>
      <c r="I88" s="7"/>
      <c r="J88" s="7"/>
      <c r="K88" s="7"/>
      <c r="L88" s="7"/>
      <c r="M88" s="7"/>
      <c r="N88" s="7"/>
      <c r="O88" s="7"/>
      <c r="P88" s="7"/>
      <c r="Q88" s="7"/>
      <c r="R88" s="7"/>
    </row>
    <row r="89" ht="16.6" customHeight="1">
      <c r="A89" s="7"/>
      <c r="B89" s="7"/>
      <c r="C89" s="100">
        <v>1</v>
      </c>
      <c r="D89" s="7"/>
      <c r="E89" s="7"/>
      <c r="F89" s="7"/>
      <c r="G89" s="7"/>
      <c r="H89" s="7"/>
      <c r="I89" s="7"/>
      <c r="J89" s="7"/>
      <c r="K89" s="7"/>
      <c r="L89" s="7"/>
      <c r="M89" s="7"/>
      <c r="N89" s="7"/>
      <c r="O89" s="7"/>
      <c r="P89" s="7"/>
      <c r="Q89" s="7"/>
      <c r="R89" s="7"/>
    </row>
    <row r="90" ht="16.6" customHeight="1">
      <c r="A90" s="7"/>
      <c r="B90" s="7"/>
      <c r="C90" s="7"/>
      <c r="D90" s="7"/>
      <c r="E90" s="7"/>
      <c r="F90" s="7"/>
      <c r="G90" s="7"/>
      <c r="H90" s="7"/>
      <c r="I90" s="7"/>
      <c r="J90" s="7"/>
      <c r="K90" s="7"/>
      <c r="L90" s="7"/>
      <c r="M90" s="7"/>
      <c r="N90" s="7"/>
      <c r="O90" s="7"/>
      <c r="P90" s="7"/>
      <c r="Q90" s="7"/>
      <c r="R90" s="7"/>
    </row>
    <row r="91" ht="16.6" customHeight="1">
      <c r="A91" s="7"/>
      <c r="B91" s="7"/>
      <c r="C91" s="7"/>
      <c r="D91" s="7"/>
      <c r="E91" s="7"/>
      <c r="F91" s="7"/>
      <c r="G91" s="7"/>
      <c r="H91" s="7"/>
      <c r="I91" s="7"/>
      <c r="J91" s="7"/>
      <c r="K91" s="7"/>
      <c r="L91" s="7"/>
      <c r="M91" s="7"/>
      <c r="N91" s="7"/>
      <c r="O91" s="7"/>
      <c r="P91" s="7"/>
      <c r="Q91" s="7"/>
      <c r="R91" s="7"/>
    </row>
    <row r="92" ht="16.6" customHeight="1">
      <c r="A92" s="7"/>
      <c r="B92" s="7"/>
      <c r="C92" s="7"/>
      <c r="D92" s="7"/>
      <c r="E92" s="7"/>
      <c r="F92" s="7"/>
      <c r="G92" s="7"/>
      <c r="H92" s="7"/>
      <c r="I92" s="7"/>
      <c r="J92" s="7"/>
      <c r="K92" s="7"/>
      <c r="L92" s="7"/>
      <c r="M92" s="7"/>
      <c r="N92" s="7"/>
      <c r="O92" s="7"/>
      <c r="P92" s="7"/>
      <c r="Q92" s="7"/>
      <c r="R92" s="7"/>
    </row>
    <row r="93" ht="16.6" customHeight="1">
      <c r="A93" s="7"/>
      <c r="B93" s="7"/>
      <c r="C93" s="7"/>
      <c r="D93" s="7"/>
      <c r="E93" s="7"/>
      <c r="F93" s="7"/>
      <c r="G93" s="7"/>
      <c r="H93" s="7"/>
      <c r="I93" s="7"/>
      <c r="J93" s="7"/>
      <c r="K93" s="7"/>
      <c r="L93" s="7"/>
      <c r="M93" s="7"/>
      <c r="N93" s="7"/>
      <c r="O93" s="7"/>
      <c r="P93" s="7"/>
      <c r="Q93" s="7"/>
      <c r="R93" s="7"/>
    </row>
    <row r="94" ht="16.6" customHeight="1">
      <c r="A94" s="7"/>
      <c r="B94" s="7"/>
      <c r="C94" s="7"/>
      <c r="D94" s="7"/>
      <c r="E94" s="7"/>
      <c r="F94" s="7"/>
      <c r="G94" s="7"/>
      <c r="H94" s="7"/>
      <c r="I94" s="7"/>
      <c r="J94" s="7"/>
      <c r="K94" s="7"/>
      <c r="L94" s="7"/>
      <c r="M94" s="7"/>
      <c r="N94" s="7"/>
      <c r="O94" s="7"/>
      <c r="P94" s="7"/>
      <c r="Q94" s="7"/>
      <c r="R94" s="7"/>
    </row>
    <row r="95" ht="16.6" customHeight="1">
      <c r="A95" s="7"/>
      <c r="B95" s="7"/>
      <c r="C95" s="7"/>
      <c r="D95" s="7"/>
      <c r="E95" s="7"/>
      <c r="F95" s="7"/>
      <c r="G95" s="7"/>
      <c r="H95" s="7"/>
      <c r="I95" s="7"/>
      <c r="J95" s="7"/>
      <c r="K95" s="7"/>
      <c r="L95" s="7"/>
      <c r="M95" s="7"/>
      <c r="N95" s="7"/>
      <c r="O95" s="7"/>
      <c r="P95" s="7"/>
      <c r="Q95" s="7"/>
      <c r="R95" s="7"/>
    </row>
    <row r="96" ht="16.6" customHeight="1">
      <c r="A96" s="7"/>
      <c r="B96" s="7"/>
      <c r="C96" s="7"/>
      <c r="D96" s="7"/>
      <c r="E96" s="7"/>
      <c r="F96" s="7"/>
      <c r="G96" s="7"/>
      <c r="H96" s="7"/>
      <c r="I96" s="7"/>
      <c r="J96" s="7"/>
      <c r="K96" s="7"/>
      <c r="L96" s="7"/>
      <c r="M96" s="7"/>
      <c r="N96" s="7"/>
      <c r="O96" s="7"/>
      <c r="P96" s="7"/>
      <c r="Q96" s="7"/>
      <c r="R96" s="7"/>
    </row>
    <row r="97" ht="16.6" customHeight="1">
      <c r="A97" s="7"/>
      <c r="B97" s="7"/>
      <c r="C97" s="100">
        <v>1</v>
      </c>
      <c r="D97" s="7"/>
      <c r="E97" s="7"/>
      <c r="F97" s="7"/>
      <c r="G97" s="7"/>
      <c r="H97" s="7"/>
      <c r="I97" s="7"/>
      <c r="J97" s="7"/>
      <c r="K97" s="7"/>
      <c r="L97" s="7"/>
      <c r="M97" s="7"/>
      <c r="N97" s="7"/>
      <c r="O97" s="7"/>
      <c r="P97" s="7"/>
      <c r="Q97" s="7"/>
      <c r="R97" s="7"/>
    </row>
    <row r="98" ht="16.6" customHeight="1">
      <c r="A98" s="7"/>
      <c r="B98" s="7"/>
      <c r="C98" s="100">
        <v>1</v>
      </c>
      <c r="D98" s="7"/>
      <c r="E98" s="7"/>
      <c r="F98" s="7"/>
      <c r="G98" s="7"/>
      <c r="H98" s="7"/>
      <c r="I98" s="7"/>
      <c r="J98" s="7"/>
      <c r="K98" s="7"/>
      <c r="L98" s="7"/>
      <c r="M98" s="7"/>
      <c r="N98" s="7"/>
      <c r="O98" s="7"/>
      <c r="P98" s="7"/>
      <c r="Q98" s="7"/>
      <c r="R98" s="7"/>
    </row>
    <row r="99" ht="16.6" customHeight="1">
      <c r="A99" s="7"/>
      <c r="B99" s="7"/>
      <c r="C99" s="7"/>
      <c r="D99" s="7"/>
      <c r="E99" s="7"/>
      <c r="F99" s="7"/>
      <c r="G99" s="7"/>
      <c r="H99" s="7"/>
      <c r="I99" s="7"/>
      <c r="J99" s="7"/>
      <c r="K99" s="7"/>
      <c r="L99" s="7"/>
      <c r="M99" s="7"/>
      <c r="N99" s="7"/>
      <c r="O99" s="7"/>
      <c r="P99" s="7"/>
      <c r="Q99" s="7"/>
      <c r="R99" s="7"/>
    </row>
    <row r="100" ht="16.6" customHeight="1">
      <c r="A100" s="7"/>
      <c r="B100" s="7"/>
      <c r="C100" s="7"/>
      <c r="D100" s="7"/>
      <c r="E100" s="7"/>
      <c r="F100" s="7"/>
      <c r="G100" s="7"/>
      <c r="H100" s="7"/>
      <c r="I100" s="7"/>
      <c r="J100" s="7"/>
      <c r="K100" s="7"/>
      <c r="L100" s="7"/>
      <c r="M100" s="7"/>
      <c r="N100" s="7"/>
      <c r="O100" s="7"/>
      <c r="P100" s="7"/>
      <c r="Q100" s="7"/>
      <c r="R100" s="7"/>
    </row>
    <row r="101" ht="16.6" customHeight="1">
      <c r="A101" s="7"/>
      <c r="B101" s="7"/>
      <c r="C101" s="100">
        <v>1</v>
      </c>
      <c r="D101" s="7"/>
      <c r="E101" s="7"/>
      <c r="F101" s="7"/>
      <c r="G101" s="7"/>
      <c r="H101" s="7"/>
      <c r="I101" s="7"/>
      <c r="J101" s="7"/>
      <c r="K101" s="7"/>
      <c r="L101" s="7"/>
      <c r="M101" s="7"/>
      <c r="N101" s="7"/>
      <c r="O101" s="7"/>
      <c r="P101" s="7"/>
      <c r="Q101" s="7"/>
      <c r="R101" s="7"/>
    </row>
    <row r="102" ht="16.6" customHeight="1">
      <c r="A102" s="7"/>
      <c r="B102" s="7"/>
      <c r="C102" s="7"/>
      <c r="D102" s="7"/>
      <c r="E102" s="7"/>
      <c r="F102" s="7"/>
      <c r="G102" s="7"/>
      <c r="H102" s="7"/>
      <c r="I102" s="7"/>
      <c r="J102" s="7"/>
      <c r="K102" s="7"/>
      <c r="L102" s="7"/>
      <c r="M102" s="7"/>
      <c r="N102" s="7"/>
      <c r="O102" s="7"/>
      <c r="P102" s="7"/>
      <c r="Q102" s="7"/>
      <c r="R102" s="7"/>
    </row>
    <row r="103" ht="16.6" customHeight="1">
      <c r="A103" s="7"/>
      <c r="B103" s="7"/>
      <c r="C103" s="7"/>
      <c r="D103" s="7"/>
      <c r="E103" s="7"/>
      <c r="F103" s="7"/>
      <c r="G103" s="7"/>
      <c r="H103" s="7"/>
      <c r="I103" s="7"/>
      <c r="J103" s="7"/>
      <c r="K103" s="7"/>
      <c r="L103" s="7"/>
      <c r="M103" s="7"/>
      <c r="N103" s="7"/>
      <c r="O103" s="7"/>
      <c r="P103" s="7"/>
      <c r="Q103" s="7"/>
      <c r="R103" s="7"/>
    </row>
    <row r="104" ht="16.6" customHeight="1">
      <c r="A104" s="7"/>
      <c r="B104" s="7"/>
      <c r="C104" s="7"/>
      <c r="D104" s="7"/>
      <c r="E104" s="7"/>
      <c r="F104" s="7"/>
      <c r="G104" s="7"/>
      <c r="H104" s="7"/>
      <c r="I104" s="7"/>
      <c r="J104" s="7"/>
      <c r="K104" s="7"/>
      <c r="L104" s="7"/>
      <c r="M104" s="7"/>
      <c r="N104" s="7"/>
      <c r="O104" s="7"/>
      <c r="P104" s="7"/>
      <c r="Q104" s="7"/>
      <c r="R104" s="7"/>
    </row>
    <row r="105" ht="16.6" customHeight="1">
      <c r="A105" s="7"/>
      <c r="B105" s="7"/>
      <c r="C105" s="7"/>
      <c r="D105" s="7"/>
      <c r="E105" s="7"/>
      <c r="F105" s="7"/>
      <c r="G105" s="7"/>
      <c r="H105" s="7"/>
      <c r="I105" s="7"/>
      <c r="J105" s="7"/>
      <c r="K105" s="7"/>
      <c r="L105" s="7"/>
      <c r="M105" s="7"/>
      <c r="N105" s="7"/>
      <c r="O105" s="7"/>
      <c r="P105" s="7"/>
      <c r="Q105" s="7"/>
      <c r="R105" s="7"/>
    </row>
    <row r="106" ht="16.6" customHeight="1">
      <c r="A106" s="7"/>
      <c r="B106" s="7"/>
      <c r="C106" s="7"/>
      <c r="D106" s="7"/>
      <c r="E106" s="7"/>
      <c r="F106" s="7"/>
      <c r="G106" s="7"/>
      <c r="H106" s="7"/>
      <c r="I106" s="7"/>
      <c r="J106" s="7"/>
      <c r="K106" s="7"/>
      <c r="L106" s="7"/>
      <c r="M106" s="7"/>
      <c r="N106" s="7"/>
      <c r="O106" s="7"/>
      <c r="P106" s="7"/>
      <c r="Q106" s="7"/>
      <c r="R106" s="7"/>
    </row>
    <row r="107" ht="16.6" customHeight="1">
      <c r="A107" s="7"/>
      <c r="B107" s="7"/>
      <c r="C107" s="100">
        <v>1</v>
      </c>
      <c r="D107" s="7"/>
      <c r="E107" s="7"/>
      <c r="F107" s="7"/>
      <c r="G107" s="7"/>
      <c r="H107" s="7"/>
      <c r="I107" s="7"/>
      <c r="J107" s="7"/>
      <c r="K107" s="7"/>
      <c r="L107" s="7"/>
      <c r="M107" s="7"/>
      <c r="N107" s="7"/>
      <c r="O107" s="7"/>
      <c r="P107" s="7"/>
      <c r="Q107" s="7"/>
      <c r="R107" s="7"/>
    </row>
    <row r="108" ht="16.6" customHeight="1">
      <c r="A108" s="7"/>
      <c r="B108" s="7"/>
      <c r="C108" s="100">
        <v>1</v>
      </c>
      <c r="D108" s="7"/>
      <c r="E108" s="7"/>
      <c r="F108" s="7"/>
      <c r="G108" s="7"/>
      <c r="H108" s="7"/>
      <c r="I108" s="7"/>
      <c r="J108" s="7"/>
      <c r="K108" s="7"/>
      <c r="L108" s="7"/>
      <c r="M108" s="7"/>
      <c r="N108" s="7"/>
      <c r="O108" s="7"/>
      <c r="P108" s="7"/>
      <c r="Q108" s="7"/>
      <c r="R108" s="7"/>
    </row>
    <row r="109" ht="16.6" customHeight="1">
      <c r="A109" s="7"/>
      <c r="B109" s="7"/>
      <c r="C109" s="7"/>
      <c r="D109" s="7"/>
      <c r="E109" s="7"/>
      <c r="F109" s="7"/>
      <c r="G109" s="7"/>
      <c r="H109" s="7"/>
      <c r="I109" s="7"/>
      <c r="J109" s="7"/>
      <c r="K109" s="7"/>
      <c r="L109" s="7"/>
      <c r="M109" s="7"/>
      <c r="N109" s="7"/>
      <c r="O109" s="7"/>
      <c r="P109" s="7"/>
      <c r="Q109" s="7"/>
      <c r="R109" s="7"/>
    </row>
    <row r="110" ht="16.6" customHeight="1">
      <c r="A110" s="7"/>
      <c r="B110" s="7"/>
      <c r="C110" s="7"/>
      <c r="D110" s="7"/>
      <c r="E110" s="7"/>
      <c r="F110" s="7"/>
      <c r="G110" s="7"/>
      <c r="H110" s="7"/>
      <c r="I110" s="7"/>
      <c r="J110" s="7"/>
      <c r="K110" s="7"/>
      <c r="L110" s="7"/>
      <c r="M110" s="7"/>
      <c r="N110" s="7"/>
      <c r="O110" s="7"/>
      <c r="P110" s="7"/>
      <c r="Q110" s="7"/>
      <c r="R110" s="7"/>
    </row>
    <row r="111" ht="16.6" customHeight="1">
      <c r="A111" s="7"/>
      <c r="B111" s="7"/>
      <c r="C111" s="7"/>
      <c r="D111" s="7"/>
      <c r="E111" s="7"/>
      <c r="F111" s="7"/>
      <c r="G111" s="7"/>
      <c r="H111" s="7"/>
      <c r="I111" s="7"/>
      <c r="J111" s="7"/>
      <c r="K111" s="7"/>
      <c r="L111" s="7"/>
      <c r="M111" s="7"/>
      <c r="N111" s="7"/>
      <c r="O111" s="7"/>
      <c r="P111" s="7"/>
      <c r="Q111" s="7"/>
      <c r="R111" s="7"/>
    </row>
    <row r="112" ht="16.6" customHeight="1">
      <c r="A112" s="7"/>
      <c r="B112" s="7"/>
      <c r="C112" s="100">
        <v>1</v>
      </c>
      <c r="D112" s="7"/>
      <c r="E112" s="7"/>
      <c r="F112" s="7"/>
      <c r="G112" s="7"/>
      <c r="H112" s="7"/>
      <c r="I112" s="7"/>
      <c r="J112" s="7"/>
      <c r="K112" s="7"/>
      <c r="L112" s="7"/>
      <c r="M112" s="7"/>
      <c r="N112" s="7"/>
      <c r="O112" s="7"/>
      <c r="P112" s="7"/>
      <c r="Q112" s="7"/>
      <c r="R112" s="7"/>
    </row>
    <row r="113" ht="16.6" customHeight="1">
      <c r="A113" s="7"/>
      <c r="B113" s="7"/>
      <c r="C113" s="100">
        <v>1</v>
      </c>
      <c r="D113" s="7"/>
      <c r="E113" s="7"/>
      <c r="F113" s="7"/>
      <c r="G113" s="7"/>
      <c r="H113" s="7"/>
      <c r="I113" s="7"/>
      <c r="J113" s="7"/>
      <c r="K113" s="7"/>
      <c r="L113" s="7"/>
      <c r="M113" s="7"/>
      <c r="N113" s="7"/>
      <c r="O113" s="7"/>
      <c r="P113" s="7"/>
      <c r="Q113" s="7"/>
      <c r="R113" s="7"/>
    </row>
    <row r="114" ht="16.6" customHeight="1">
      <c r="A114" s="7"/>
      <c r="B114" s="7"/>
      <c r="C114" s="7"/>
      <c r="D114" s="7"/>
      <c r="E114" s="7"/>
      <c r="F114" s="7"/>
      <c r="G114" s="7"/>
      <c r="H114" s="7"/>
      <c r="I114" s="7"/>
      <c r="J114" s="7"/>
      <c r="K114" s="7"/>
      <c r="L114" s="7"/>
      <c r="M114" s="7"/>
      <c r="N114" s="7"/>
      <c r="O114" s="7"/>
      <c r="P114" s="7"/>
      <c r="Q114" s="7"/>
      <c r="R114" s="7"/>
    </row>
    <row r="115" ht="16.6" customHeight="1">
      <c r="A115" s="7"/>
      <c r="B115" s="7"/>
      <c r="C115" s="7"/>
      <c r="D115" s="7"/>
      <c r="E115" s="7"/>
      <c r="F115" s="7"/>
      <c r="G115" s="7"/>
      <c r="H115" s="7"/>
      <c r="I115" s="7"/>
      <c r="J115" s="7"/>
      <c r="K115" s="7"/>
      <c r="L115" s="7"/>
      <c r="M115" s="7"/>
      <c r="N115" s="7"/>
      <c r="O115" s="7"/>
      <c r="P115" s="7"/>
      <c r="Q115" s="7"/>
      <c r="R115" s="7"/>
    </row>
    <row r="116" ht="16.6" customHeight="1">
      <c r="A116" s="7"/>
      <c r="B116" s="7"/>
      <c r="C116" s="100">
        <v>1</v>
      </c>
      <c r="D116" s="7"/>
      <c r="E116" s="7"/>
      <c r="F116" s="7"/>
      <c r="G116" s="7"/>
      <c r="H116" s="7"/>
      <c r="I116" s="7"/>
      <c r="J116" s="7"/>
      <c r="K116" s="7"/>
      <c r="L116" s="7"/>
      <c r="M116" s="7"/>
      <c r="N116" s="7"/>
      <c r="O116" s="7"/>
      <c r="P116" s="7"/>
      <c r="Q116" s="7"/>
      <c r="R116" s="7"/>
    </row>
    <row r="117" ht="16.6" customHeight="1">
      <c r="A117" s="7"/>
      <c r="B117" s="7"/>
      <c r="C117" s="100">
        <v>1</v>
      </c>
      <c r="D117" s="7"/>
      <c r="E117" s="7"/>
      <c r="F117" s="7"/>
      <c r="G117" s="7"/>
      <c r="H117" s="7"/>
      <c r="I117" s="7"/>
      <c r="J117" s="7"/>
      <c r="K117" s="7"/>
      <c r="L117" s="7"/>
      <c r="M117" s="7"/>
      <c r="N117" s="7"/>
      <c r="O117" s="7"/>
      <c r="P117" s="7"/>
      <c r="Q117" s="7"/>
      <c r="R117" s="7"/>
    </row>
    <row r="118" ht="16.6" customHeight="1">
      <c r="A118" s="7"/>
      <c r="B118" s="7"/>
      <c r="C118" s="7"/>
      <c r="D118" s="7"/>
      <c r="E118" s="7"/>
      <c r="F118" s="7"/>
      <c r="G118" s="7"/>
      <c r="H118" s="7"/>
      <c r="I118" s="7"/>
      <c r="J118" s="7"/>
      <c r="K118" s="7"/>
      <c r="L118" s="7"/>
      <c r="M118" s="7"/>
      <c r="N118" s="7"/>
      <c r="O118" s="7"/>
      <c r="P118" s="7"/>
      <c r="Q118" s="7"/>
      <c r="R118" s="7"/>
    </row>
    <row r="119" ht="16.6" customHeight="1">
      <c r="A119" s="7"/>
      <c r="B119" s="7"/>
      <c r="C119" s="100">
        <v>1</v>
      </c>
      <c r="D119" s="7"/>
      <c r="E119" s="7"/>
      <c r="F119" s="7"/>
      <c r="G119" s="7"/>
      <c r="H119" s="7"/>
      <c r="I119" s="7"/>
      <c r="J119" s="7"/>
      <c r="K119" s="7"/>
      <c r="L119" s="7"/>
      <c r="M119" s="7"/>
      <c r="N119" s="7"/>
      <c r="O119" s="7"/>
      <c r="P119" s="7"/>
      <c r="Q119" s="7"/>
      <c r="R119" s="7"/>
    </row>
  </sheetData>
  <mergeCells count="16">
    <mergeCell ref="A1:O1"/>
    <mergeCell ref="A2:O2"/>
    <mergeCell ref="B3:B5"/>
    <mergeCell ref="C3:C5"/>
    <mergeCell ref="D3:D5"/>
    <mergeCell ref="E3:E5"/>
    <mergeCell ref="F3:F5"/>
    <mergeCell ref="G3:G5"/>
    <mergeCell ref="H3:H5"/>
    <mergeCell ref="I3:I5"/>
    <mergeCell ref="J3:J5"/>
    <mergeCell ref="K3:K5"/>
    <mergeCell ref="L3:L5"/>
    <mergeCell ref="M3:M5"/>
    <mergeCell ref="N3:N5"/>
    <mergeCell ref="O3:O5"/>
  </mergeCells>
  <pageMargins left="0.39375" right="0.39375" top="0.532639" bottom="0.39375" header="0.39375" footer="0.39375"/>
  <pageSetup firstPageNumber="1" fitToHeight="1" fitToWidth="1" scale="74" useFirstPageNumber="0" orientation="portrait" pageOrder="overThenDown"/>
  <headerFooter>
    <oddHeader>&amp;R&amp;"Arial,Regular"&amp;12&amp;K000000&amp;10&amp;P/&amp;N - Synthèse</oddHead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71429" defaultRowHeight="15" customHeight="1" outlineLevelRow="0" outlineLevelCol="0"/>
  <cols>
    <col min="1" max="2" width="8.86719" style="101" customWidth="1"/>
    <col min="3" max="5" width="8.73438" style="101" customWidth="1"/>
    <col min="6" max="16384" width="8.73438" style="101" customWidth="1"/>
  </cols>
  <sheetData>
    <row r="1" ht="16.6" customHeight="1">
      <c r="A1" t="s" s="97">
        <v>41</v>
      </c>
      <c r="B1" t="s" s="97">
        <v>42</v>
      </c>
      <c r="C1" t="s" s="102">
        <v>43</v>
      </c>
      <c r="D1" s="103"/>
      <c r="E1" s="103"/>
    </row>
    <row r="2" ht="16.6" customHeight="1">
      <c r="A2" s="100">
        <v>0</v>
      </c>
      <c r="B2" s="100">
        <v>20</v>
      </c>
      <c r="C2" t="s" s="102">
        <v>44</v>
      </c>
      <c r="D2" s="103"/>
      <c r="E2" s="103"/>
    </row>
    <row r="3" ht="16.6" customHeight="1">
      <c r="A3" s="100">
        <v>20</v>
      </c>
      <c r="B3" s="100">
        <v>40</v>
      </c>
      <c r="C3" t="s" s="102">
        <v>45</v>
      </c>
      <c r="D3" s="103"/>
      <c r="E3" s="103"/>
    </row>
    <row r="4" ht="16.6" customHeight="1">
      <c r="A4" s="100">
        <v>40</v>
      </c>
      <c r="B4" s="100">
        <v>60</v>
      </c>
      <c r="C4" t="s" s="102">
        <v>46</v>
      </c>
      <c r="D4" s="103"/>
      <c r="E4" s="103"/>
    </row>
    <row r="5" ht="16.6" customHeight="1">
      <c r="A5" s="100">
        <v>60</v>
      </c>
      <c r="B5" s="100">
        <v>80</v>
      </c>
      <c r="C5" t="s" s="102">
        <v>47</v>
      </c>
      <c r="D5" s="103"/>
      <c r="E5" s="103"/>
    </row>
    <row r="6" ht="16.6" customHeight="1">
      <c r="A6" s="100">
        <v>80</v>
      </c>
      <c r="B6" s="100">
        <v>100</v>
      </c>
      <c r="C6" t="s" s="102">
        <v>48</v>
      </c>
      <c r="D6" s="103"/>
      <c r="E6" s="103"/>
    </row>
    <row r="7" ht="16.6" customHeight="1">
      <c r="A7" s="7"/>
      <c r="B7" s="7"/>
      <c r="C7" s="103"/>
      <c r="D7" s="103"/>
      <c r="E7" s="103"/>
    </row>
    <row r="8" ht="16.6" customHeight="1">
      <c r="A8" s="7"/>
      <c r="B8" s="7"/>
      <c r="C8" s="103"/>
      <c r="D8" s="103"/>
      <c r="E8" s="103"/>
    </row>
    <row r="9" ht="16.6" customHeight="1">
      <c r="A9" s="7"/>
      <c r="B9" s="7"/>
      <c r="C9" s="103"/>
      <c r="D9" s="103"/>
      <c r="E9" s="103"/>
    </row>
    <row r="10" ht="16.6" customHeight="1">
      <c r="A10" s="7"/>
      <c r="B10" s="7"/>
      <c r="C10" s="103"/>
      <c r="D10" s="103"/>
      <c r="E10" s="103"/>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E9"/>
  <sheetViews>
    <sheetView workbookViewId="0" showGridLines="0" defaultGridColor="1"/>
  </sheetViews>
  <sheetFormatPr defaultColWidth="7.28571" defaultRowHeight="15.75" customHeight="1" outlineLevelRow="0" outlineLevelCol="0"/>
  <cols>
    <col min="1" max="1" width="6.73438" style="104" customWidth="1"/>
    <col min="2" max="2" width="39.2891" style="104" customWidth="1"/>
    <col min="3" max="3" width="68.8672" style="104" customWidth="1"/>
    <col min="4" max="5" width="7.28906" style="104" customWidth="1"/>
    <col min="6" max="16384" width="7.28906" style="104" customWidth="1"/>
  </cols>
  <sheetData>
    <row r="1" ht="31.5" customHeight="1">
      <c r="A1" t="s" s="105">
        <v>50</v>
      </c>
      <c r="B1" s="61"/>
      <c r="C1" s="61"/>
      <c r="D1" s="62"/>
      <c r="E1" s="7"/>
    </row>
    <row r="2" ht="15.75" customHeight="1">
      <c r="A2" t="s" s="63">
        <v>51</v>
      </c>
      <c r="B2" s="106"/>
      <c r="C2" s="106"/>
      <c r="D2" s="62"/>
      <c r="E2" s="7"/>
    </row>
    <row r="3" ht="15.75" customHeight="1">
      <c r="A3" t="s" s="107">
        <v>52</v>
      </c>
      <c r="B3" s="108"/>
      <c r="C3" s="108"/>
      <c r="D3" s="7"/>
      <c r="E3" s="7"/>
    </row>
    <row r="4" ht="16.6" customHeight="1">
      <c r="A4" t="s" s="109">
        <v>53</v>
      </c>
      <c r="B4" s="7"/>
      <c r="C4" s="110"/>
      <c r="D4" s="7"/>
      <c r="E4" s="7"/>
    </row>
    <row r="5" ht="16.6" customHeight="1">
      <c r="A5" s="111"/>
      <c r="B5" s="112"/>
      <c r="C5" s="113"/>
      <c r="D5" s="7"/>
      <c r="E5" s="7"/>
    </row>
    <row r="6" ht="16.6" customHeight="1">
      <c r="A6" t="s" s="114">
        <v>54</v>
      </c>
      <c r="B6" t="s" s="115">
        <v>55</v>
      </c>
      <c r="C6" t="s" s="115">
        <v>56</v>
      </c>
      <c r="D6" s="62"/>
      <c r="E6" s="7"/>
    </row>
    <row r="7" ht="84" customHeight="1">
      <c r="A7" t="s" s="116">
        <v>7</v>
      </c>
      <c r="B7" s="117"/>
      <c r="C7" s="14"/>
      <c r="D7" s="7"/>
      <c r="E7" s="7"/>
    </row>
    <row r="8" ht="36" customHeight="1">
      <c r="A8" t="s" s="116">
        <v>8</v>
      </c>
      <c r="B8" s="12"/>
      <c r="C8" s="7"/>
      <c r="D8" s="7"/>
      <c r="E8" s="7"/>
    </row>
    <row r="9" ht="48" customHeight="1">
      <c r="A9" t="s" s="116">
        <v>9</v>
      </c>
      <c r="B9" s="12"/>
      <c r="C9" s="7"/>
      <c r="D9" s="7"/>
      <c r="E9" s="7"/>
    </row>
  </sheetData>
  <mergeCells count="4">
    <mergeCell ref="B4:C4"/>
    <mergeCell ref="A1:C1"/>
    <mergeCell ref="A2:C2"/>
    <mergeCell ref="A3:C3"/>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U53"/>
  <sheetViews>
    <sheetView workbookViewId="0" showGridLines="0" defaultGridColor="1"/>
  </sheetViews>
  <sheetFormatPr defaultColWidth="8.71429" defaultRowHeight="15.75" customHeight="1" outlineLevelRow="0" outlineLevelCol="0"/>
  <cols>
    <col min="1" max="1" width="6" style="118" customWidth="1"/>
    <col min="2" max="2" width="8" style="118" customWidth="1"/>
    <col min="3" max="3" width="54" style="118" customWidth="1"/>
    <col min="4" max="4" width="8.86719" style="118" customWidth="1"/>
    <col min="5" max="5" width="5.28906" style="118" customWidth="1"/>
    <col min="6" max="6" width="5" style="118" customWidth="1"/>
    <col min="7" max="7" width="66.7344" style="118" customWidth="1"/>
    <col min="8" max="8" width="28.7344" style="118" customWidth="1"/>
    <col min="9" max="9" width="6.28906" style="118" customWidth="1"/>
    <col min="10" max="10" width="5.57812" style="118" customWidth="1"/>
    <col min="11" max="11" width="5.44531" style="118" customWidth="1"/>
    <col min="12" max="21" width="8.73438" style="118" customWidth="1"/>
    <col min="22" max="16384" width="8.73438" style="118" customWidth="1"/>
  </cols>
  <sheetData>
    <row r="1" ht="101.25" customHeight="1">
      <c r="A1" t="s" s="119">
        <v>57</v>
      </c>
      <c r="B1" t="s" s="120">
        <v>58</v>
      </c>
      <c r="C1" t="s" s="121">
        <v>59</v>
      </c>
      <c r="D1" t="s" s="122">
        <v>60</v>
      </c>
      <c r="E1" t="s" s="123">
        <v>23</v>
      </c>
      <c r="F1" t="s" s="123">
        <v>61</v>
      </c>
      <c r="G1" t="s" s="124">
        <v>62</v>
      </c>
      <c r="H1" t="s" s="125">
        <v>63</v>
      </c>
      <c r="I1" t="str" s="126" cm="1">
        <f t="array" ref="I1">"P01 "&amp;COUNTA(E2:E53)&amp;"/"&amp;COUNTA(C2:C53)</f>
        <v>P01 0/52</v>
      </c>
      <c r="J1" t="s" s="125">
        <v>8</v>
      </c>
      <c r="K1" t="s" s="125">
        <v>9</v>
      </c>
      <c r="L1" s="127"/>
      <c r="M1" s="103"/>
      <c r="N1" s="103"/>
      <c r="O1" s="103"/>
      <c r="P1" s="103"/>
      <c r="Q1" s="103"/>
      <c r="R1" s="103"/>
      <c r="S1" s="103"/>
      <c r="T1" s="103"/>
      <c r="U1" s="103"/>
    </row>
    <row r="2" ht="16.6" customHeight="1">
      <c r="A2" s="128">
        <v>1</v>
      </c>
      <c r="B2" t="s" s="129">
        <v>65</v>
      </c>
      <c r="C2" t="s" s="130">
        <v>66</v>
      </c>
      <c r="D2" s="131"/>
      <c r="E2" s="132"/>
      <c r="F2" s="132"/>
      <c r="G2" s="133"/>
      <c r="H2" t="str" s="133" cm="1">
        <f t="array" ref="H2">IF(AND(E2="NC",G2=""),"Il manque un message d'erreur",IF(AND(E2&lt;&gt;"NC",G2&lt;&gt;""),"Il faut seulement écrire un message d'erreur pour NC",""))</f>
      </c>
      <c r="I2" s="134" cm="1">
        <f t="array" ref="I2">E2</f>
        <v>0</v>
      </c>
      <c r="J2" s="134" cm="1">
        <f t="array" ref="J2">'P02'!E2</f>
        <v>0</v>
      </c>
      <c r="K2" s="134" cm="1">
        <f t="array" ref="K2">'P03'!K2</f>
        <v>0</v>
      </c>
      <c r="L2" s="103"/>
      <c r="M2" s="103"/>
      <c r="N2" s="103"/>
      <c r="O2" s="103"/>
      <c r="P2" s="103"/>
      <c r="Q2" s="103"/>
      <c r="R2" s="103"/>
      <c r="S2" s="103"/>
      <c r="T2" s="103"/>
      <c r="U2" s="103"/>
    </row>
    <row r="3" ht="30" customHeight="1">
      <c r="A3" s="135">
        <v>2</v>
      </c>
      <c r="B3" t="s" s="129">
        <v>67</v>
      </c>
      <c r="C3" t="s" s="130">
        <v>68</v>
      </c>
      <c r="D3" s="136"/>
      <c r="E3" s="137"/>
      <c r="F3" s="137"/>
      <c r="G3" s="138"/>
      <c r="H3" t="str" s="138" cm="1">
        <f t="array" ref="H3">IF(AND(E3="NC",G3=""),"Il manque un message d'erreur",IF(AND(E3&lt;&gt;"NC",G3&lt;&gt;""),"Il faut seulement écrire un message d'erreur pour NC",""))</f>
      </c>
      <c r="I3" s="139" cm="1">
        <f t="array" ref="I3">E3</f>
        <v>0</v>
      </c>
      <c r="J3" s="139" cm="1">
        <f t="array" ref="J3">'P02'!E3</f>
        <v>0</v>
      </c>
      <c r="K3" s="139" cm="1">
        <f t="array" ref="K3">'P03'!K3</f>
        <v>0</v>
      </c>
      <c r="L3" s="103"/>
      <c r="M3" s="103"/>
      <c r="N3" s="103"/>
      <c r="O3" s="103"/>
      <c r="P3" s="103"/>
      <c r="Q3" s="103"/>
      <c r="R3" s="103"/>
      <c r="S3" s="103"/>
      <c r="T3" s="103"/>
      <c r="U3" s="103"/>
    </row>
    <row r="4" ht="30" customHeight="1">
      <c r="A4" s="135">
        <v>3</v>
      </c>
      <c r="B4" t="s" s="129">
        <v>69</v>
      </c>
      <c r="C4" t="s" s="130">
        <v>70</v>
      </c>
      <c r="D4" s="140" cm="1">
        <f t="array" ref="D4">IF(OR(E2="NA",E2="NC"),"NA",T3)</f>
        <v>0</v>
      </c>
      <c r="E4" s="137"/>
      <c r="F4" s="137"/>
      <c r="G4" s="138"/>
      <c r="H4" t="str" s="138" cm="1">
        <f t="array" ref="H4">IF(AND(E4="NC",G4=""),"Il manque un message d'erreur",IF(AND(E4&lt;&gt;"NC",G4&lt;&gt;""),"Il faut seulement écrire un message d'erreur pour NC",""))</f>
      </c>
      <c r="I4" s="139" cm="1">
        <f t="array" ref="I4">E4</f>
        <v>0</v>
      </c>
      <c r="J4" s="139" cm="1">
        <f t="array" ref="J4">'P02'!E4</f>
        <v>0</v>
      </c>
      <c r="K4" s="139" cm="1">
        <f t="array" ref="K4">'P03'!K4</f>
        <v>0</v>
      </c>
      <c r="L4" s="103"/>
      <c r="M4" s="103"/>
      <c r="N4" s="103"/>
      <c r="O4" s="103"/>
      <c r="P4" s="103"/>
      <c r="Q4" s="103"/>
      <c r="R4" s="103"/>
      <c r="S4" s="103"/>
      <c r="T4" s="103"/>
      <c r="U4" s="103"/>
    </row>
    <row r="5" ht="45" customHeight="1">
      <c r="A5" s="135">
        <v>4</v>
      </c>
      <c r="B5" t="s" s="129">
        <v>71</v>
      </c>
      <c r="C5" t="s" s="130">
        <v>72</v>
      </c>
      <c r="D5" s="136"/>
      <c r="E5" s="137"/>
      <c r="F5" s="137"/>
      <c r="G5" s="138"/>
      <c r="H5" t="str" s="138" cm="1">
        <f t="array" ref="H5">IF(AND(E5="NC",G5=""),"Il manque un message d'erreur",IF(AND(E5&lt;&gt;"NC",G5&lt;&gt;""),"Il faut seulement écrire un message d'erreur pour NC",""))</f>
      </c>
      <c r="I5" s="139" cm="1">
        <f t="array" ref="I5">E5</f>
        <v>0</v>
      </c>
      <c r="J5" s="139" cm="1">
        <f t="array" ref="J5">'P02'!E5</f>
        <v>0</v>
      </c>
      <c r="K5" s="139" cm="1">
        <f t="array" ref="K5">'P03'!K5</f>
        <v>0</v>
      </c>
      <c r="L5" s="103"/>
      <c r="M5" s="103"/>
      <c r="N5" s="103"/>
      <c r="O5" s="103"/>
      <c r="P5" s="103"/>
      <c r="Q5" s="103"/>
      <c r="R5" s="103"/>
      <c r="S5" s="103"/>
      <c r="T5" s="103"/>
      <c r="U5" s="103"/>
    </row>
    <row r="6" ht="30" customHeight="1">
      <c r="A6" s="135">
        <v>5</v>
      </c>
      <c r="B6" t="s" s="129">
        <v>73</v>
      </c>
      <c r="C6" t="s" s="130">
        <v>74</v>
      </c>
      <c r="D6" s="136"/>
      <c r="E6" s="137"/>
      <c r="F6" s="137"/>
      <c r="G6" s="138"/>
      <c r="H6" t="str" s="138" cm="1">
        <f t="array" ref="H6">IF(AND(E6="NC",G6=""),"Il manque un message d'erreur",IF(AND(E6&lt;&gt;"NC",G6&lt;&gt;""),"Il faut seulement écrire un message d'erreur pour NC",""))</f>
      </c>
      <c r="I6" s="139" cm="1">
        <f t="array" ref="I6">E6</f>
        <v>0</v>
      </c>
      <c r="J6" s="139" cm="1">
        <f t="array" ref="J6">'P02'!E6</f>
        <v>0</v>
      </c>
      <c r="K6" s="139" cm="1">
        <f t="array" ref="K6">'P03'!K6</f>
        <v>0</v>
      </c>
      <c r="L6" s="103"/>
      <c r="M6" s="103"/>
      <c r="N6" s="103"/>
      <c r="O6" s="103"/>
      <c r="P6" s="103"/>
      <c r="Q6" s="103"/>
      <c r="R6" s="103"/>
      <c r="S6" s="103"/>
      <c r="T6" s="103"/>
      <c r="U6" s="103"/>
    </row>
    <row r="7" ht="30" customHeight="1">
      <c r="A7" s="135">
        <v>6</v>
      </c>
      <c r="B7" t="s" s="129">
        <v>75</v>
      </c>
      <c r="C7" t="s" s="130">
        <v>76</v>
      </c>
      <c r="D7" s="140" cm="1">
        <f t="array" ref="D7">IF(OR(E2="NA",E2="NC"),"NA",T6)</f>
        <v>0</v>
      </c>
      <c r="E7" s="137"/>
      <c r="F7" s="137"/>
      <c r="G7" s="138"/>
      <c r="H7" t="str" s="138" cm="1">
        <f t="array" ref="H7">IF(AND(E7="NC",G7=""),"Il manque un message d'erreur",IF(AND(E7&lt;&gt;"NC",G7&lt;&gt;""),"Il faut seulement écrire un message d'erreur pour NC",""))</f>
      </c>
      <c r="I7" s="139" cm="1">
        <f t="array" ref="I7">E7</f>
        <v>0</v>
      </c>
      <c r="J7" s="139" cm="1">
        <f t="array" ref="J7">'P02'!E7</f>
        <v>0</v>
      </c>
      <c r="K7" s="139" cm="1">
        <f t="array" ref="K7">'P03'!K7</f>
        <v>0</v>
      </c>
      <c r="L7" s="103"/>
      <c r="M7" s="103"/>
      <c r="N7" s="103"/>
      <c r="O7" s="103"/>
      <c r="P7" s="103"/>
      <c r="Q7" s="103"/>
      <c r="R7" s="103"/>
      <c r="S7" s="103"/>
      <c r="T7" s="103"/>
      <c r="U7" s="103"/>
    </row>
    <row r="8" ht="30" customHeight="1">
      <c r="A8" s="135">
        <v>7</v>
      </c>
      <c r="B8" t="s" s="129">
        <v>77</v>
      </c>
      <c r="C8" t="s" s="141">
        <v>78</v>
      </c>
      <c r="D8" s="140" cm="1">
        <f t="array" ref="D8">IF(OR(E2="NA",E2="NC"),"NA",T7)</f>
        <v>0</v>
      </c>
      <c r="E8" s="137"/>
      <c r="F8" s="137"/>
      <c r="G8" s="138"/>
      <c r="H8" t="str" s="138" cm="1">
        <f t="array" ref="H8">IF(AND(E8="NC",G8=""),"Il manque un message d'erreur",IF(AND(E8&lt;&gt;"NC",G8&lt;&gt;""),"Il faut seulement écrire un message d'erreur pour NC",""))</f>
      </c>
      <c r="I8" s="139" cm="1">
        <f t="array" ref="I8">E8</f>
        <v>0</v>
      </c>
      <c r="J8" s="139" cm="1">
        <f t="array" ref="J8">'P02'!E8</f>
        <v>0</v>
      </c>
      <c r="K8" s="139" cm="1">
        <f t="array" ref="K8">'P03'!K8</f>
        <v>0</v>
      </c>
      <c r="L8" s="103"/>
      <c r="M8" s="103"/>
      <c r="N8" s="103"/>
      <c r="O8" s="103"/>
      <c r="P8" s="103"/>
      <c r="Q8" s="103"/>
      <c r="R8" s="103"/>
      <c r="S8" s="103"/>
      <c r="T8" s="103"/>
      <c r="U8" s="103"/>
    </row>
    <row r="9" ht="15.75" customHeight="1">
      <c r="A9" s="135">
        <v>8</v>
      </c>
      <c r="B9" s="142">
        <v>2.1</v>
      </c>
      <c r="C9" t="s" s="143">
        <v>79</v>
      </c>
      <c r="D9" s="138"/>
      <c r="E9" s="137"/>
      <c r="F9" s="137"/>
      <c r="G9" s="138"/>
      <c r="H9" t="str" s="138" cm="1">
        <f t="array" ref="H9">IF(AND(E9="NC",G9=""),"Il manque un message d'erreur",IF(AND(E9&lt;&gt;"NC",G9&lt;&gt;""),"Il faut seulement écrire un message d'erreur pour NC",""))</f>
      </c>
      <c r="I9" s="139" cm="1">
        <f t="array" ref="I9">E9</f>
        <v>0</v>
      </c>
      <c r="J9" s="139" cm="1">
        <f t="array" ref="J9">'P02'!E9</f>
        <v>0</v>
      </c>
      <c r="K9" s="139" cm="1">
        <f t="array" ref="K9">'P03'!K9</f>
        <v>0</v>
      </c>
      <c r="L9" s="103"/>
      <c r="M9" s="103"/>
      <c r="N9" s="103"/>
      <c r="O9" s="103"/>
      <c r="P9" s="103"/>
      <c r="Q9" s="103"/>
      <c r="R9" s="103"/>
      <c r="S9" s="103"/>
      <c r="T9" s="103"/>
      <c r="U9" s="103"/>
    </row>
    <row r="10" ht="30" customHeight="1">
      <c r="A10" s="135">
        <v>9</v>
      </c>
      <c r="B10" t="s" s="129">
        <v>80</v>
      </c>
      <c r="C10" t="s" s="144">
        <v>81</v>
      </c>
      <c r="D10" s="138"/>
      <c r="E10" s="137"/>
      <c r="F10" s="137"/>
      <c r="G10" s="138"/>
      <c r="H10" t="str" s="138" cm="1">
        <f t="array" ref="H10">IF(AND(E10="NC",G10=""),"Il manque un message d'erreur",IF(AND(E10&lt;&gt;"NC",G10&lt;&gt;""),"Il faut seulement écrire un message d'erreur pour NC",""))</f>
      </c>
      <c r="I10" s="139" cm="1">
        <f t="array" ref="I10">E10</f>
        <v>0</v>
      </c>
      <c r="J10" s="139" cm="1">
        <f t="array" ref="J10">'P02'!E10</f>
        <v>0</v>
      </c>
      <c r="K10" s="139" cm="1">
        <f t="array" ref="K10">'P03'!K10</f>
        <v>0</v>
      </c>
      <c r="L10" s="103"/>
      <c r="M10" s="103"/>
      <c r="N10" s="103"/>
      <c r="O10" s="103"/>
      <c r="P10" s="103"/>
      <c r="Q10" s="103"/>
      <c r="R10" s="103"/>
      <c r="S10" s="103"/>
      <c r="T10" s="103"/>
      <c r="U10" s="103"/>
    </row>
    <row r="11" ht="30" customHeight="1">
      <c r="A11" s="135">
        <v>10</v>
      </c>
      <c r="B11" t="s" s="129">
        <v>82</v>
      </c>
      <c r="C11" t="s" s="144">
        <v>83</v>
      </c>
      <c r="D11" s="138"/>
      <c r="E11" s="137"/>
      <c r="F11" s="137"/>
      <c r="G11" s="138"/>
      <c r="H11" t="str" s="138" cm="1">
        <f t="array" ref="H11">IF(AND(E11="NC",G11=""),"Il manque un message d'erreur",IF(AND(E11&lt;&gt;"NC",G11&lt;&gt;""),"Il faut seulement écrire un message d'erreur pour NC",""))</f>
      </c>
      <c r="I11" s="139" cm="1">
        <f t="array" ref="I11">E11</f>
        <v>0</v>
      </c>
      <c r="J11" s="139" cm="1">
        <f t="array" ref="J11">'P02'!E11</f>
        <v>0</v>
      </c>
      <c r="K11" s="139" cm="1">
        <f t="array" ref="K11">'P03'!K11</f>
        <v>0</v>
      </c>
      <c r="L11" s="103"/>
      <c r="M11" s="103"/>
      <c r="N11" s="103"/>
      <c r="O11" s="103"/>
      <c r="P11" s="103"/>
      <c r="Q11" s="103"/>
      <c r="R11" s="103"/>
      <c r="S11" s="103"/>
      <c r="T11" s="103"/>
      <c r="U11" s="103"/>
    </row>
    <row r="12" ht="30" customHeight="1">
      <c r="A12" s="135">
        <v>11</v>
      </c>
      <c r="B12" t="s" s="129">
        <v>84</v>
      </c>
      <c r="C12" t="s" s="144">
        <v>85</v>
      </c>
      <c r="D12" s="138"/>
      <c r="E12" s="137"/>
      <c r="F12" s="137"/>
      <c r="G12" s="138"/>
      <c r="H12" t="str" s="138" cm="1">
        <f t="array" ref="H12">IF(AND(E12="NC",G12=""),"Il manque un message d'erreur",IF(AND(E12&lt;&gt;"NC",G12&lt;&gt;""),"Il faut seulement écrire un message d'erreur pour NC",""))</f>
      </c>
      <c r="I12" s="139" cm="1">
        <f t="array" ref="I12">E12</f>
        <v>0</v>
      </c>
      <c r="J12" s="139" cm="1">
        <f t="array" ref="J12">'P02'!E12</f>
        <v>0</v>
      </c>
      <c r="K12" s="139" cm="1">
        <f t="array" ref="K12">'P03'!K12</f>
        <v>0</v>
      </c>
      <c r="L12" s="103"/>
      <c r="M12" s="103"/>
      <c r="N12" s="103"/>
      <c r="O12" s="103"/>
      <c r="P12" s="103"/>
      <c r="Q12" s="103"/>
      <c r="R12" s="103"/>
      <c r="S12" s="103"/>
      <c r="T12" s="103"/>
      <c r="U12" s="103"/>
    </row>
    <row r="13" ht="134.25" customHeight="1">
      <c r="A13" s="135">
        <v>12</v>
      </c>
      <c r="B13" t="s" s="129">
        <v>86</v>
      </c>
      <c r="C13" t="s" s="144">
        <v>87</v>
      </c>
      <c r="D13" s="145" cm="1">
        <f t="array" ref="D13">IF(OR(E12="NA",E12="NC"),"NA",T13)</f>
        <v>0</v>
      </c>
      <c r="E13" s="137"/>
      <c r="F13" s="137"/>
      <c r="G13" s="138"/>
      <c r="H13" t="str" s="138" cm="1">
        <f t="array" ref="H13">IF(AND(E13="NC",G13=""),"Il manque un message d'erreur",IF(AND(E13&lt;&gt;"NC",G13&lt;&gt;""),"Il faut seulement écrire un message d'erreur pour NC",""))</f>
      </c>
      <c r="I13" s="139" cm="1">
        <f t="array" ref="I13">E13</f>
        <v>0</v>
      </c>
      <c r="J13" s="139" cm="1">
        <f t="array" ref="J13">'P02'!E13</f>
        <v>0</v>
      </c>
      <c r="K13" s="139" cm="1">
        <f t="array" ref="K13">'P03'!K13</f>
        <v>0</v>
      </c>
      <c r="L13" s="103"/>
      <c r="M13" s="103"/>
      <c r="N13" s="103"/>
      <c r="O13" s="103"/>
      <c r="P13" s="103"/>
      <c r="Q13" s="103"/>
      <c r="R13" s="103"/>
      <c r="S13" s="103"/>
      <c r="T13" s="103"/>
      <c r="U13" s="103"/>
    </row>
    <row r="14" ht="30" customHeight="1">
      <c r="A14" s="135">
        <v>13</v>
      </c>
      <c r="B14" t="s" s="129">
        <v>88</v>
      </c>
      <c r="C14" t="s" s="144">
        <v>89</v>
      </c>
      <c r="D14" s="145" cm="1">
        <f t="array" ref="D14">IF(OR(E12="NA",E12="NC"),"NA",T14)</f>
        <v>0</v>
      </c>
      <c r="E14" s="137"/>
      <c r="F14" s="137"/>
      <c r="G14" s="138"/>
      <c r="H14" t="str" s="138" cm="1">
        <f t="array" ref="H14">IF(AND(E14="NC",G14=""),"Il manque un message d'erreur",IF(AND(E14&lt;&gt;"NC",G14&lt;&gt;""),"Il faut seulement écrire un message d'erreur pour NC",""))</f>
      </c>
      <c r="I14" s="139" cm="1">
        <f t="array" ref="I14">E14</f>
        <v>0</v>
      </c>
      <c r="J14" s="139" cm="1">
        <f t="array" ref="J14">'P02'!E14</f>
        <v>0</v>
      </c>
      <c r="K14" s="139" cm="1">
        <f t="array" ref="K14">'P03'!K14</f>
        <v>0</v>
      </c>
      <c r="L14" s="103"/>
      <c r="M14" s="103"/>
      <c r="N14" s="103"/>
      <c r="O14" s="103"/>
      <c r="P14" s="103"/>
      <c r="Q14" s="103"/>
      <c r="R14" s="103"/>
      <c r="S14" s="103"/>
      <c r="T14" s="103"/>
      <c r="U14" s="103"/>
    </row>
    <row r="15" ht="30" customHeight="1">
      <c r="A15" s="135">
        <v>14</v>
      </c>
      <c r="B15" t="s" s="129">
        <v>90</v>
      </c>
      <c r="C15" t="s" s="144">
        <v>91</v>
      </c>
      <c r="D15" s="145" cm="1">
        <f t="array" ref="D15">IF(OR(E12="NA",E12="NC"),"NA",T15)</f>
        <v>0</v>
      </c>
      <c r="E15" s="137"/>
      <c r="F15" s="137"/>
      <c r="G15" s="138"/>
      <c r="H15" t="str" s="138" cm="1">
        <f t="array" ref="H15">IF(AND(E15="NC",G15=""),"Il manque un message d'erreur",IF(AND(E15&lt;&gt;"NC",G15&lt;&gt;""),"Il faut seulement écrire un message d'erreur pour NC",""))</f>
      </c>
      <c r="I15" s="139" cm="1">
        <f t="array" ref="I15">E15</f>
        <v>0</v>
      </c>
      <c r="J15" s="139" cm="1">
        <f t="array" ref="J15">'P02'!E15</f>
        <v>0</v>
      </c>
      <c r="K15" s="139" cm="1">
        <f t="array" ref="K15">'P03'!K15</f>
        <v>0</v>
      </c>
      <c r="L15" s="103"/>
      <c r="M15" s="103"/>
      <c r="N15" s="103"/>
      <c r="O15" s="103"/>
      <c r="P15" s="103"/>
      <c r="Q15" s="103"/>
      <c r="R15" s="103"/>
      <c r="S15" s="103"/>
      <c r="T15" s="103"/>
      <c r="U15" s="103"/>
    </row>
    <row r="16" ht="30" customHeight="1">
      <c r="A16" s="135">
        <v>15</v>
      </c>
      <c r="B16" t="s" s="129">
        <v>92</v>
      </c>
      <c r="C16" t="s" s="144">
        <v>93</v>
      </c>
      <c r="D16" s="138"/>
      <c r="E16" s="137"/>
      <c r="F16" s="137"/>
      <c r="G16" s="138"/>
      <c r="H16" t="str" s="138" cm="1">
        <f t="array" ref="H16">IF(AND(E16="NC",G16=""),"Il manque un message d'erreur",IF(AND(E16&lt;&gt;"NC",G16&lt;&gt;""),"Il faut seulement écrire un message d'erreur pour NC",""))</f>
      </c>
      <c r="I16" s="139" cm="1">
        <f t="array" ref="I16">E16</f>
        <v>0</v>
      </c>
      <c r="J16" s="139" cm="1">
        <f t="array" ref="J16">'P02'!E16</f>
        <v>0</v>
      </c>
      <c r="K16" s="139" cm="1">
        <f t="array" ref="K16">'P03'!K16</f>
        <v>0</v>
      </c>
      <c r="L16" s="103"/>
      <c r="M16" s="103"/>
      <c r="N16" s="103"/>
      <c r="O16" s="103"/>
      <c r="P16" s="103"/>
      <c r="Q16" s="103"/>
      <c r="R16" s="103"/>
      <c r="S16" s="103"/>
      <c r="T16" s="103"/>
      <c r="U16" s="103"/>
    </row>
    <row r="17" ht="30" customHeight="1">
      <c r="A17" s="135">
        <v>16</v>
      </c>
      <c r="B17" t="s" s="129">
        <v>94</v>
      </c>
      <c r="C17" t="s" s="144">
        <v>95</v>
      </c>
      <c r="D17" s="145" cm="1">
        <f t="array" ref="D17">IF(OR(E16="NA",E16="NC"),"NA",T21)</f>
        <v>0</v>
      </c>
      <c r="E17" s="137"/>
      <c r="F17" s="137"/>
      <c r="G17" s="138"/>
      <c r="H17" t="str" s="138" cm="1">
        <f t="array" ref="H17">IF(AND(E17="NC",G17=""),"Il manque un message d'erreur",IF(AND(E17&lt;&gt;"NC",G17&lt;&gt;""),"Il faut seulement écrire un message d'erreur pour NC",""))</f>
      </c>
      <c r="I17" s="139" cm="1">
        <f t="array" ref="I17">E17</f>
        <v>0</v>
      </c>
      <c r="J17" s="139" cm="1">
        <f t="array" ref="J17">'P02'!E17</f>
        <v>0</v>
      </c>
      <c r="K17" s="139" cm="1">
        <f t="array" ref="K17">'P03'!K17</f>
        <v>0</v>
      </c>
      <c r="L17" s="103"/>
      <c r="M17" s="103"/>
      <c r="N17" s="103"/>
      <c r="O17" s="103"/>
      <c r="P17" s="103"/>
      <c r="Q17" s="103"/>
      <c r="R17" s="103"/>
      <c r="S17" s="103"/>
      <c r="T17" s="103"/>
      <c r="U17" s="103"/>
    </row>
    <row r="18" ht="30" customHeight="1">
      <c r="A18" s="135">
        <v>17</v>
      </c>
      <c r="B18" t="s" s="129">
        <v>96</v>
      </c>
      <c r="C18" t="s" s="144">
        <v>97</v>
      </c>
      <c r="D18" s="138"/>
      <c r="E18" s="137"/>
      <c r="F18" s="137"/>
      <c r="G18" s="138"/>
      <c r="H18" t="str" s="138" cm="1">
        <f t="array" ref="H18">IF(AND(E18="NC",G18=""),"Il manque un message d'erreur",IF(AND(E18&lt;&gt;"NC",G18&lt;&gt;""),"Il faut seulement écrire un message d'erreur pour NC",""))</f>
      </c>
      <c r="I18" s="139" cm="1">
        <f t="array" ref="I18">E18</f>
        <v>0</v>
      </c>
      <c r="J18" s="139" cm="1">
        <f t="array" ref="J18">'P02'!E18</f>
        <v>0</v>
      </c>
      <c r="K18" s="139" cm="1">
        <f t="array" ref="K18">'P03'!K18</f>
        <v>0</v>
      </c>
      <c r="L18" s="103"/>
      <c r="M18" s="103"/>
      <c r="N18" s="103"/>
      <c r="O18" s="103"/>
      <c r="P18" s="103"/>
      <c r="Q18" s="103"/>
      <c r="R18" s="103"/>
      <c r="S18" s="103"/>
      <c r="T18" s="103"/>
      <c r="U18" s="103"/>
    </row>
    <row r="19" ht="30" customHeight="1">
      <c r="A19" s="135">
        <v>18</v>
      </c>
      <c r="B19" t="s" s="129">
        <v>98</v>
      </c>
      <c r="C19" t="s" s="144">
        <v>99</v>
      </c>
      <c r="D19" s="145" cm="1">
        <f t="array" ref="D19">IF(OR(E12="NA",E12="NC"),"NA",T16)</f>
        <v>0</v>
      </c>
      <c r="E19" s="137"/>
      <c r="F19" s="137"/>
      <c r="G19" s="138"/>
      <c r="H19" t="str" s="138" cm="1">
        <f t="array" ref="H19">IF(AND(E19="NC",G19=""),"Il manque un message d'erreur",IF(AND(E19&lt;&gt;"NC",G19&lt;&gt;""),"Il faut seulement écrire un message d'erreur pour NC",""))</f>
      </c>
      <c r="I19" s="139" cm="1">
        <f t="array" ref="I19">E19</f>
        <v>0</v>
      </c>
      <c r="J19" s="139" cm="1">
        <f t="array" ref="J19">'P02'!E19</f>
        <v>0</v>
      </c>
      <c r="K19" s="139" cm="1">
        <f t="array" ref="K19">'P03'!K19</f>
        <v>0</v>
      </c>
      <c r="L19" s="103"/>
      <c r="M19" s="103"/>
      <c r="N19" s="103"/>
      <c r="O19" s="103"/>
      <c r="P19" s="103"/>
      <c r="Q19" s="103"/>
      <c r="R19" s="103"/>
      <c r="S19" s="103"/>
      <c r="T19" s="103"/>
      <c r="U19" s="103"/>
    </row>
    <row r="20" ht="30" customHeight="1">
      <c r="A20" s="135">
        <v>19</v>
      </c>
      <c r="B20" t="s" s="129">
        <v>100</v>
      </c>
      <c r="C20" t="s" s="144">
        <v>101</v>
      </c>
      <c r="D20" s="138"/>
      <c r="E20" s="137"/>
      <c r="F20" s="137"/>
      <c r="G20" s="138"/>
      <c r="H20" t="str" s="138" cm="1">
        <f t="array" ref="H20">IF(AND(E20="NC",G20=""),"Il manque un message d'erreur",IF(AND(E20&lt;&gt;"NC",G20&lt;&gt;""),"Il faut seulement écrire un message d'erreur pour NC",""))</f>
      </c>
      <c r="I20" s="139" cm="1">
        <f t="array" ref="I20">E20</f>
        <v>0</v>
      </c>
      <c r="J20" s="139" cm="1">
        <f t="array" ref="J20">'P02'!E20</f>
        <v>0</v>
      </c>
      <c r="K20" s="139" cm="1">
        <f t="array" ref="K20">'P03'!K20</f>
        <v>0</v>
      </c>
      <c r="L20" s="103"/>
      <c r="M20" s="103"/>
      <c r="N20" s="103"/>
      <c r="O20" s="103"/>
      <c r="P20" s="103"/>
      <c r="Q20" s="103"/>
      <c r="R20" s="103"/>
      <c r="S20" s="103"/>
      <c r="T20" s="103"/>
      <c r="U20" s="103"/>
    </row>
    <row r="21" ht="45" customHeight="1">
      <c r="A21" s="135">
        <v>20</v>
      </c>
      <c r="B21" t="s" s="129">
        <v>102</v>
      </c>
      <c r="C21" t="s" s="144">
        <v>103</v>
      </c>
      <c r="D21" s="145" cm="1">
        <f t="array" ref="D21">IF(OR(E20="NA",E20="NC"),"NA",T25)</f>
        <v>0</v>
      </c>
      <c r="E21" s="137"/>
      <c r="F21" s="137"/>
      <c r="G21" s="138"/>
      <c r="H21" t="str" s="138" cm="1">
        <f t="array" ref="H21">IF(AND(E21="NC",G21=""),"Il manque un message d'erreur",IF(AND(E21&lt;&gt;"NC",G21&lt;&gt;""),"Il faut seulement écrire un message d'erreur pour NC",""))</f>
      </c>
      <c r="I21" s="139" cm="1">
        <f t="array" ref="I21">E21</f>
        <v>0</v>
      </c>
      <c r="J21" s="139" cm="1">
        <f t="array" ref="J21">'P02'!E21</f>
        <v>0</v>
      </c>
      <c r="K21" s="139" cm="1">
        <f t="array" ref="K21">'P03'!K21</f>
        <v>0</v>
      </c>
      <c r="L21" s="103"/>
      <c r="M21" s="103"/>
      <c r="N21" s="103"/>
      <c r="O21" s="103"/>
      <c r="P21" s="103"/>
      <c r="Q21" s="103"/>
      <c r="R21" s="103"/>
      <c r="S21" s="103"/>
      <c r="T21" s="103"/>
      <c r="U21" s="103"/>
    </row>
    <row r="22" ht="16.6" customHeight="1">
      <c r="A22" s="135">
        <v>21</v>
      </c>
      <c r="B22" t="s" s="129">
        <v>104</v>
      </c>
      <c r="C22" t="s" s="146">
        <v>105</v>
      </c>
      <c r="D22" s="147"/>
      <c r="E22" s="148"/>
      <c r="F22" s="148"/>
      <c r="G22" s="138"/>
      <c r="H22" t="str" s="149" cm="1">
        <f t="array" ref="H22">IF(AND(E22="NC",G22=""),"Il manque un message d'erreur",IF(AND(E22&lt;&gt;"NC",G22&lt;&gt;""),"Il faut seulement écrire un message d'erreur pour NC",""))</f>
      </c>
      <c r="I22" s="150" cm="1">
        <f t="array" ref="I22">E22</f>
        <v>0</v>
      </c>
      <c r="J22" s="150" cm="1">
        <f t="array" ref="J22">'P02'!E22</f>
        <v>0</v>
      </c>
      <c r="K22" s="150" cm="1">
        <f t="array" ref="K22">'P03'!K22</f>
        <v>0</v>
      </c>
      <c r="L22" s="103"/>
      <c r="M22" s="103"/>
      <c r="N22" s="103"/>
      <c r="O22" s="103"/>
      <c r="P22" s="103"/>
      <c r="Q22" s="103"/>
      <c r="R22" s="103"/>
      <c r="S22" s="103"/>
      <c r="T22" s="103"/>
      <c r="U22" s="103"/>
    </row>
    <row r="23" ht="73.5" customHeight="1">
      <c r="A23" s="135">
        <v>22</v>
      </c>
      <c r="B23" t="s" s="129">
        <v>106</v>
      </c>
      <c r="C23" t="s" s="144">
        <v>107</v>
      </c>
      <c r="D23" s="138"/>
      <c r="E23" s="137"/>
      <c r="F23" s="137"/>
      <c r="G23" s="138"/>
      <c r="H23" t="str" s="138" cm="1">
        <f t="array" ref="H23">IF(AND(E23="NC",G23=""),"Il manque un message d'erreur",IF(AND(E23&lt;&gt;"NC",G23&lt;&gt;""),"Il faut seulement écrire un message d'erreur pour NC",""))</f>
      </c>
      <c r="I23" s="139" cm="1">
        <f t="array" ref="I23">E23</f>
        <v>0</v>
      </c>
      <c r="J23" s="139" cm="1">
        <f t="array" ref="J23">'P02'!E23</f>
        <v>0</v>
      </c>
      <c r="K23" s="139" cm="1">
        <f t="array" ref="K23">'P03'!K23</f>
        <v>0</v>
      </c>
      <c r="L23" s="103"/>
      <c r="M23" s="103"/>
      <c r="N23" s="103"/>
      <c r="O23" s="103"/>
      <c r="P23" s="103"/>
      <c r="Q23" s="103"/>
      <c r="R23" s="103"/>
      <c r="S23" s="103"/>
      <c r="T23" s="103"/>
      <c r="U23" s="103"/>
    </row>
    <row r="24" ht="30" customHeight="1">
      <c r="A24" s="135">
        <v>23</v>
      </c>
      <c r="B24" t="s" s="129">
        <v>108</v>
      </c>
      <c r="C24" t="s" s="144">
        <v>109</v>
      </c>
      <c r="D24" s="138"/>
      <c r="E24" s="137"/>
      <c r="F24" s="137"/>
      <c r="G24" s="138"/>
      <c r="H24" t="str" s="138" cm="1">
        <f t="array" ref="H24">IF(AND(E24="NC",G24=""),"Il manque un message d'erreur",IF(AND(E24&lt;&gt;"NC",G24&lt;&gt;""),"Il faut seulement écrire un message d'erreur pour NC",""))</f>
      </c>
      <c r="I24" s="139" cm="1">
        <f t="array" ref="I24">E24</f>
        <v>0</v>
      </c>
      <c r="J24" s="139" cm="1">
        <f t="array" ref="J24">'P02'!E24</f>
        <v>0</v>
      </c>
      <c r="K24" s="139" cm="1">
        <f t="array" ref="K24">'P03'!K24</f>
        <v>0</v>
      </c>
      <c r="L24" s="103"/>
      <c r="M24" s="103"/>
      <c r="N24" s="103"/>
      <c r="O24" s="103"/>
      <c r="P24" s="103"/>
      <c r="Q24" s="103"/>
      <c r="R24" s="103"/>
      <c r="S24" s="103"/>
      <c r="T24" s="103"/>
      <c r="U24" s="103"/>
    </row>
    <row r="25" ht="30" customHeight="1">
      <c r="A25" s="135">
        <v>24</v>
      </c>
      <c r="B25" t="s" s="129">
        <v>110</v>
      </c>
      <c r="C25" t="s" s="144">
        <v>111</v>
      </c>
      <c r="D25" s="138"/>
      <c r="E25" s="137"/>
      <c r="F25" s="137"/>
      <c r="G25" s="138"/>
      <c r="H25" t="str" s="138" cm="1">
        <f t="array" ref="H25">IF(AND(E25="NC",G25=""),"Il manque un message d'erreur",IF(AND(E25&lt;&gt;"NC",G25&lt;&gt;""),"Il faut seulement écrire un message d'erreur pour NC",""))</f>
      </c>
      <c r="I25" s="139" cm="1">
        <f t="array" ref="I25">E25</f>
        <v>0</v>
      </c>
      <c r="J25" s="139" cm="1">
        <f t="array" ref="J25">'P02'!E25</f>
        <v>0</v>
      </c>
      <c r="K25" s="139" cm="1">
        <f t="array" ref="K25">'P03'!K25</f>
        <v>0</v>
      </c>
      <c r="L25" s="103"/>
      <c r="M25" s="103"/>
      <c r="N25" s="103"/>
      <c r="O25" s="103"/>
      <c r="P25" s="103"/>
      <c r="Q25" s="103"/>
      <c r="R25" s="103"/>
      <c r="S25" s="103"/>
      <c r="T25" s="103"/>
      <c r="U25" s="103"/>
    </row>
    <row r="26" ht="15.75" customHeight="1">
      <c r="A26" s="135">
        <v>25</v>
      </c>
      <c r="B26" t="s" s="129">
        <v>112</v>
      </c>
      <c r="C26" t="s" s="144">
        <v>113</v>
      </c>
      <c r="D26" s="138"/>
      <c r="E26" s="137"/>
      <c r="F26" s="137"/>
      <c r="G26" s="138"/>
      <c r="H26" t="str" s="138" cm="1">
        <f t="array" ref="H26">IF(AND(E26="NC",G26=""),"Il manque un message d'erreur",IF(AND(E26&lt;&gt;"NC",G26&lt;&gt;""),"Il faut seulement écrire un message d'erreur pour NC",""))</f>
      </c>
      <c r="I26" s="139" cm="1">
        <f t="array" ref="I26">E26</f>
        <v>0</v>
      </c>
      <c r="J26" s="139" cm="1">
        <f t="array" ref="J26">'P02'!E26</f>
        <v>0</v>
      </c>
      <c r="K26" s="139" cm="1">
        <f t="array" ref="K26">'P03'!K26</f>
        <v>0</v>
      </c>
      <c r="L26" s="103"/>
      <c r="M26" s="103"/>
      <c r="N26" s="103"/>
      <c r="O26" s="103"/>
      <c r="P26" s="103"/>
      <c r="Q26" s="103"/>
      <c r="R26" s="103"/>
      <c r="S26" s="103"/>
      <c r="T26" s="103"/>
      <c r="U26" s="103"/>
    </row>
    <row r="27" ht="30" customHeight="1">
      <c r="A27" s="135">
        <v>26</v>
      </c>
      <c r="B27" t="s" s="129">
        <v>114</v>
      </c>
      <c r="C27" t="s" s="144">
        <v>115</v>
      </c>
      <c r="D27" s="145" cm="1">
        <f t="array" ref="D27">IF(E26="NA","NA",U34)</f>
        <v>0</v>
      </c>
      <c r="E27" s="137"/>
      <c r="F27" s="137"/>
      <c r="G27" s="138"/>
      <c r="H27" t="str" s="138" cm="1">
        <f t="array" ref="H27">IF(AND(E27="NC",G27=""),"Il manque un message d'erreur",IF(AND(E27&lt;&gt;"NC",G27&lt;&gt;""),"Il faut seulement écrire un message d'erreur pour NC",""))</f>
      </c>
      <c r="I27" s="139" cm="1">
        <f t="array" ref="I27">E27</f>
        <v>0</v>
      </c>
      <c r="J27" s="139" cm="1">
        <f t="array" ref="J27">'P02'!E27</f>
        <v>0</v>
      </c>
      <c r="K27" s="139" cm="1">
        <f t="array" ref="K27">'P03'!K27</f>
        <v>0</v>
      </c>
      <c r="L27" s="103"/>
      <c r="M27" s="103"/>
      <c r="N27" s="103"/>
      <c r="O27" s="103"/>
      <c r="P27" s="103"/>
      <c r="Q27" s="103"/>
      <c r="R27" s="103"/>
      <c r="S27" s="103"/>
      <c r="T27" s="103"/>
      <c r="U27" s="103"/>
    </row>
    <row r="28" ht="15.75" customHeight="1">
      <c r="A28" s="135">
        <v>27</v>
      </c>
      <c r="B28" t="s" s="129">
        <v>116</v>
      </c>
      <c r="C28" t="s" s="144">
        <v>117</v>
      </c>
      <c r="D28" s="138"/>
      <c r="E28" s="137"/>
      <c r="F28" s="137"/>
      <c r="G28" s="138"/>
      <c r="H28" t="str" s="138" cm="1">
        <f t="array" ref="H28">IF(AND(E28="NC",G28=""),"Il manque un message d'erreur",IF(AND(E28&lt;&gt;"NC",G28&lt;&gt;""),"Il faut seulement écrire un message d'erreur pour NC",""))</f>
      </c>
      <c r="I28" s="139" cm="1">
        <f t="array" ref="I28">E28</f>
        <v>0</v>
      </c>
      <c r="J28" s="139" cm="1">
        <f t="array" ref="J28">'P02'!E28</f>
        <v>0</v>
      </c>
      <c r="K28" s="139" cm="1">
        <f t="array" ref="K28">'P03'!K28</f>
        <v>0</v>
      </c>
      <c r="L28" s="103"/>
      <c r="M28" s="103"/>
      <c r="N28" s="103"/>
      <c r="O28" s="103"/>
      <c r="P28" s="103"/>
      <c r="Q28" s="103"/>
      <c r="R28" s="103"/>
      <c r="S28" s="103"/>
      <c r="T28" s="103"/>
      <c r="U28" s="103"/>
    </row>
    <row r="29" ht="15.75" customHeight="1">
      <c r="A29" s="135">
        <v>28</v>
      </c>
      <c r="B29" t="s" s="129">
        <v>118</v>
      </c>
      <c r="C29" t="s" s="144">
        <v>119</v>
      </c>
      <c r="D29" s="138"/>
      <c r="E29" s="137"/>
      <c r="F29" s="137"/>
      <c r="G29" s="138"/>
      <c r="H29" t="str" s="138" cm="1">
        <f t="array" ref="H29">IF(AND(E29="NC",G29=""),"Il manque un message d'erreur",IF(AND(E29&lt;&gt;"NC",G29&lt;&gt;""),"Il faut seulement écrire un message d'erreur pour NC",""))</f>
      </c>
      <c r="I29" s="139" cm="1">
        <f t="array" ref="I29">E29</f>
        <v>0</v>
      </c>
      <c r="J29" s="139" cm="1">
        <f t="array" ref="J29">'P02'!E29</f>
        <v>0</v>
      </c>
      <c r="K29" s="139" cm="1">
        <f t="array" ref="K29">'P03'!K29</f>
        <v>0</v>
      </c>
      <c r="L29" s="103"/>
      <c r="M29" s="103"/>
      <c r="N29" s="103"/>
      <c r="O29" s="103"/>
      <c r="P29" s="103"/>
      <c r="Q29" s="103"/>
      <c r="R29" s="103"/>
      <c r="S29" s="103"/>
      <c r="T29" s="103"/>
      <c r="U29" s="103"/>
    </row>
    <row r="30" ht="30" customHeight="1">
      <c r="A30" s="135">
        <v>29</v>
      </c>
      <c r="B30" t="s" s="129">
        <v>120</v>
      </c>
      <c r="C30" t="s" s="144">
        <v>121</v>
      </c>
      <c r="D30" s="138"/>
      <c r="E30" s="137"/>
      <c r="F30" s="137"/>
      <c r="G30" s="138"/>
      <c r="H30" t="str" s="138" cm="1">
        <f t="array" ref="H30">IF(AND(E30="NC",G30=""),"Il manque un message d'erreur",IF(AND(E30&lt;&gt;"NC",G30&lt;&gt;""),"Il faut seulement écrire un message d'erreur pour NC",""))</f>
      </c>
      <c r="I30" s="139" cm="1">
        <f t="array" ref="I30">E30</f>
        <v>0</v>
      </c>
      <c r="J30" s="139" cm="1">
        <f t="array" ref="J30">'P02'!E30</f>
        <v>0</v>
      </c>
      <c r="K30" s="139" cm="1">
        <f t="array" ref="K30">'P03'!K30</f>
        <v>0</v>
      </c>
      <c r="L30" s="103"/>
      <c r="M30" s="103"/>
      <c r="N30" s="103"/>
      <c r="O30" s="103"/>
      <c r="P30" s="103"/>
      <c r="Q30" s="103"/>
      <c r="R30" s="103"/>
      <c r="S30" s="103"/>
      <c r="T30" s="103"/>
      <c r="U30" s="103"/>
    </row>
    <row r="31" ht="30" customHeight="1">
      <c r="A31" s="135">
        <v>30</v>
      </c>
      <c r="B31" t="s" s="129">
        <v>122</v>
      </c>
      <c r="C31" t="s" s="144">
        <v>123</v>
      </c>
      <c r="D31" s="145" cm="1">
        <f t="array" ref="D31">IF(OR(E30="NA",E30="NC"),"NA",T39)</f>
        <v>0</v>
      </c>
      <c r="E31" s="137"/>
      <c r="F31" s="137"/>
      <c r="G31" s="138"/>
      <c r="H31" t="str" s="138" cm="1">
        <f t="array" ref="H31">IF(AND(E31="NC",G31=""),"Il manque un message d'erreur",IF(AND(E31&lt;&gt;"NC",G31&lt;&gt;""),"Il faut seulement écrire un message d'erreur pour NC",""))</f>
      </c>
      <c r="I31" s="139" cm="1">
        <f t="array" ref="I31">E31</f>
        <v>0</v>
      </c>
      <c r="J31" s="139" cm="1">
        <f t="array" ref="J31">'P02'!E31</f>
        <v>0</v>
      </c>
      <c r="K31" s="139" cm="1">
        <f t="array" ref="K31">'P03'!K31</f>
        <v>0</v>
      </c>
      <c r="L31" s="103"/>
      <c r="M31" s="103"/>
      <c r="N31" s="103"/>
      <c r="O31" s="103"/>
      <c r="P31" s="103"/>
      <c r="Q31" s="103"/>
      <c r="R31" s="103"/>
      <c r="S31" s="103"/>
      <c r="T31" s="103"/>
      <c r="U31" s="103"/>
    </row>
    <row r="32" ht="30" customHeight="1">
      <c r="A32" s="135">
        <v>31</v>
      </c>
      <c r="B32" t="s" s="129">
        <v>124</v>
      </c>
      <c r="C32" t="s" s="144">
        <v>125</v>
      </c>
      <c r="D32" s="138"/>
      <c r="E32" s="137"/>
      <c r="F32" s="137"/>
      <c r="G32" s="138"/>
      <c r="H32" t="str" s="138" cm="1">
        <f t="array" ref="H32">IF(AND(E32="NC",G32=""),"Il manque un message d'erreur",IF(AND(E32&lt;&gt;"NC",G32&lt;&gt;""),"Il faut seulement écrire un message d'erreur pour NC",""))</f>
      </c>
      <c r="I32" s="139" cm="1">
        <f t="array" ref="I32">E32</f>
        <v>0</v>
      </c>
      <c r="J32" s="139" cm="1">
        <f t="array" ref="J32">'P02'!E32</f>
        <v>0</v>
      </c>
      <c r="K32" s="139" cm="1">
        <f t="array" ref="K32">'P03'!K32</f>
        <v>0</v>
      </c>
      <c r="L32" s="103"/>
      <c r="M32" s="103"/>
      <c r="N32" s="103"/>
      <c r="O32" s="103"/>
      <c r="P32" s="103"/>
      <c r="Q32" s="103"/>
      <c r="R32" s="103"/>
      <c r="S32" s="103"/>
      <c r="T32" s="103"/>
      <c r="U32" s="103"/>
    </row>
    <row r="33" ht="30" customHeight="1">
      <c r="A33" s="135">
        <v>32</v>
      </c>
      <c r="B33" t="s" s="129">
        <v>126</v>
      </c>
      <c r="C33" t="s" s="144">
        <v>127</v>
      </c>
      <c r="D33" s="138"/>
      <c r="E33" s="137"/>
      <c r="F33" s="137"/>
      <c r="G33" s="138"/>
      <c r="H33" t="str" s="138" cm="1">
        <f t="array" ref="H33">IF(AND(E33="NC",G33=""),"Il manque un message d'erreur",IF(AND(E33&lt;&gt;"NC",G33&lt;&gt;""),"Il faut seulement écrire un message d'erreur pour NC",""))</f>
      </c>
      <c r="I33" s="139" cm="1">
        <f t="array" ref="I33">E33</f>
        <v>0</v>
      </c>
      <c r="J33" s="139" cm="1">
        <f t="array" ref="J33">'P02'!E33</f>
        <v>0</v>
      </c>
      <c r="K33" s="139" cm="1">
        <f t="array" ref="K33">'P03'!K33</f>
        <v>0</v>
      </c>
      <c r="L33" s="103"/>
      <c r="M33" s="103"/>
      <c r="N33" s="103"/>
      <c r="O33" s="103"/>
      <c r="P33" s="103"/>
      <c r="Q33" s="103"/>
      <c r="R33" s="103"/>
      <c r="S33" s="103"/>
      <c r="T33" s="103"/>
      <c r="U33" s="103"/>
    </row>
    <row r="34" ht="30" customHeight="1">
      <c r="A34" s="135">
        <v>33</v>
      </c>
      <c r="B34" t="s" s="129">
        <v>128</v>
      </c>
      <c r="C34" t="s" s="144">
        <v>129</v>
      </c>
      <c r="D34" s="138"/>
      <c r="E34" s="137"/>
      <c r="F34" s="137"/>
      <c r="G34" s="138"/>
      <c r="H34" t="str" s="138" cm="1">
        <f t="array" ref="H34">IF(AND(E34="NC",G34=""),"Il manque un message d'erreur",IF(AND(E34&lt;&gt;"NC",G34&lt;&gt;""),"Il faut seulement écrire un message d'erreur pour NC",""))</f>
      </c>
      <c r="I34" s="139" cm="1">
        <f t="array" ref="I34">E34</f>
        <v>0</v>
      </c>
      <c r="J34" s="139" cm="1">
        <f t="array" ref="J34">'P02'!E34</f>
        <v>0</v>
      </c>
      <c r="K34" s="139" cm="1">
        <f t="array" ref="K34">'P03'!K34</f>
        <v>0</v>
      </c>
      <c r="L34" s="103"/>
      <c r="M34" s="103"/>
      <c r="N34" s="103"/>
      <c r="O34" s="103"/>
      <c r="P34" s="103"/>
      <c r="Q34" s="103"/>
      <c r="R34" s="103"/>
      <c r="S34" s="103"/>
      <c r="T34" s="103"/>
      <c r="U34" s="103"/>
    </row>
    <row r="35" ht="30" customHeight="1">
      <c r="A35" s="135">
        <v>34</v>
      </c>
      <c r="B35" t="s" s="129">
        <v>130</v>
      </c>
      <c r="C35" t="s" s="144">
        <v>131</v>
      </c>
      <c r="D35" s="138"/>
      <c r="E35" s="137"/>
      <c r="F35" s="137"/>
      <c r="G35" s="138"/>
      <c r="H35" t="str" s="138" cm="1">
        <f t="array" ref="H35">IF(AND(E35="NC",G35=""),"Il manque un message d'erreur",IF(AND(E35&lt;&gt;"NC",G35&lt;&gt;""),"Il faut seulement écrire un message d'erreur pour NC",""))</f>
      </c>
      <c r="I35" s="139" cm="1">
        <f t="array" ref="I35">E35</f>
        <v>0</v>
      </c>
      <c r="J35" s="139" cm="1">
        <f t="array" ref="J35">'P02'!E35</f>
        <v>0</v>
      </c>
      <c r="K35" s="139" cm="1">
        <f t="array" ref="K35">'P03'!K35</f>
        <v>0</v>
      </c>
      <c r="L35" s="103"/>
      <c r="M35" s="103"/>
      <c r="N35" s="103"/>
      <c r="O35" s="103"/>
      <c r="P35" s="103"/>
      <c r="Q35" s="103"/>
      <c r="R35" s="103"/>
      <c r="S35" s="103"/>
      <c r="T35" s="103"/>
      <c r="U35" s="103"/>
    </row>
    <row r="36" ht="30" customHeight="1">
      <c r="A36" s="135">
        <v>35</v>
      </c>
      <c r="B36" t="s" s="129">
        <v>132</v>
      </c>
      <c r="C36" t="s" s="144">
        <v>133</v>
      </c>
      <c r="D36" s="138"/>
      <c r="E36" s="137"/>
      <c r="F36" s="137"/>
      <c r="G36" s="138"/>
      <c r="H36" t="str" s="138" cm="1">
        <f t="array" ref="H36">IF(AND(E36="NC",G36=""),"Il manque un message d'erreur",IF(AND(E36&lt;&gt;"NC",G36&lt;&gt;""),"Il faut seulement écrire un message d'erreur pour NC",""))</f>
      </c>
      <c r="I36" s="139" cm="1">
        <f t="array" ref="I36">E36</f>
        <v>0</v>
      </c>
      <c r="J36" s="139" cm="1">
        <f t="array" ref="J36">'P02'!E36</f>
        <v>0</v>
      </c>
      <c r="K36" s="139" cm="1">
        <f t="array" ref="K36">'P03'!K36</f>
        <v>0</v>
      </c>
      <c r="L36" s="103"/>
      <c r="M36" s="103"/>
      <c r="N36" s="103"/>
      <c r="O36" s="103"/>
      <c r="P36" s="103"/>
      <c r="Q36" s="103"/>
      <c r="R36" s="103"/>
      <c r="S36" s="103"/>
      <c r="T36" s="103"/>
      <c r="U36" s="103"/>
    </row>
    <row r="37" ht="45" customHeight="1">
      <c r="A37" s="135">
        <v>36</v>
      </c>
      <c r="B37" t="s" s="129">
        <v>134</v>
      </c>
      <c r="C37" t="s" s="144">
        <v>135</v>
      </c>
      <c r="D37" s="138"/>
      <c r="E37" s="137"/>
      <c r="F37" s="137"/>
      <c r="G37" s="151"/>
      <c r="H37" t="str" s="138" cm="1">
        <f t="array" ref="H37">IF(AND(E37="NC",G37=""),"Il manque un message d'erreur",IF(AND(E37&lt;&gt;"NC",G37&lt;&gt;""),"Il faut seulement écrire un message d'erreur pour NC",""))</f>
      </c>
      <c r="I37" s="139" cm="1">
        <f t="array" ref="I37">E37</f>
        <v>0</v>
      </c>
      <c r="J37" s="139" cm="1">
        <f t="array" ref="J37">'P02'!E37</f>
        <v>0</v>
      </c>
      <c r="K37" s="139" cm="1">
        <f t="array" ref="K37">'P03'!K37</f>
        <v>0</v>
      </c>
      <c r="L37" s="103"/>
      <c r="M37" s="103"/>
      <c r="N37" s="103"/>
      <c r="O37" s="103"/>
      <c r="P37" s="103"/>
      <c r="Q37" s="103"/>
      <c r="R37" s="103"/>
      <c r="S37" s="103"/>
      <c r="T37" s="103"/>
      <c r="U37" s="103"/>
    </row>
    <row r="38" ht="45" customHeight="1">
      <c r="A38" s="135">
        <v>37</v>
      </c>
      <c r="B38" t="s" s="129">
        <v>136</v>
      </c>
      <c r="C38" t="s" s="144">
        <v>137</v>
      </c>
      <c r="D38" s="138"/>
      <c r="E38" s="137"/>
      <c r="F38" s="137"/>
      <c r="G38" s="138"/>
      <c r="H38" t="str" s="138" cm="1">
        <f t="array" ref="H38">IF(AND(E38="NC",G38=""),"Il manque un message d'erreur",IF(AND(E38&lt;&gt;"NC",G38&lt;&gt;""),"Il faut seulement écrire un message d'erreur pour NC",""))</f>
      </c>
      <c r="I38" s="139" cm="1">
        <f t="array" ref="I38">E38</f>
        <v>0</v>
      </c>
      <c r="J38" s="139" cm="1">
        <f t="array" ref="J38">'P02'!E38</f>
        <v>0</v>
      </c>
      <c r="K38" s="139" cm="1">
        <f t="array" ref="K38">'P03'!K38</f>
        <v>0</v>
      </c>
      <c r="L38" s="103"/>
      <c r="M38" s="103"/>
      <c r="N38" s="103"/>
      <c r="O38" s="103"/>
      <c r="P38" s="103"/>
      <c r="Q38" s="103"/>
      <c r="R38" s="103"/>
      <c r="S38" s="103"/>
      <c r="T38" s="103"/>
      <c r="U38" s="103"/>
    </row>
    <row r="39" ht="16.6" customHeight="1">
      <c r="A39" s="135">
        <v>38</v>
      </c>
      <c r="B39" t="s" s="129">
        <v>138</v>
      </c>
      <c r="C39" t="s" s="144">
        <v>139</v>
      </c>
      <c r="D39" s="138"/>
      <c r="E39" s="137"/>
      <c r="F39" s="137"/>
      <c r="G39" s="138"/>
      <c r="H39" t="str" s="138" cm="1">
        <f t="array" ref="H39">IF(AND(E39="NC",G39=""),"Il manque un message d'erreur",IF(AND(E39&lt;&gt;"NC",G39&lt;&gt;""),"Il faut seulement écrire un message d'erreur pour NC",""))</f>
      </c>
      <c r="I39" s="139" cm="1">
        <f t="array" ref="I39">E39</f>
        <v>0</v>
      </c>
      <c r="J39" s="139" cm="1">
        <f t="array" ref="J39">'P02'!E39</f>
        <v>0</v>
      </c>
      <c r="K39" s="139" cm="1">
        <f t="array" ref="K39">'P03'!K39</f>
        <v>0</v>
      </c>
      <c r="L39" s="103"/>
      <c r="M39" s="103"/>
      <c r="N39" s="103"/>
      <c r="O39" s="103"/>
      <c r="P39" s="103"/>
      <c r="Q39" s="103"/>
      <c r="R39" s="103"/>
      <c r="S39" s="103"/>
      <c r="T39" s="103"/>
      <c r="U39" s="103"/>
    </row>
    <row r="40" ht="30" customHeight="1">
      <c r="A40" s="135">
        <v>39</v>
      </c>
      <c r="B40" t="s" s="129">
        <v>140</v>
      </c>
      <c r="C40" t="s" s="144">
        <v>141</v>
      </c>
      <c r="D40" s="138"/>
      <c r="E40" s="137"/>
      <c r="F40" s="137"/>
      <c r="G40" s="138"/>
      <c r="H40" t="str" s="138" cm="1">
        <f t="array" ref="H40">IF(AND(E40="NC",G40=""),"Il manque un message d'erreur",IF(AND(E40&lt;&gt;"NC",G40&lt;&gt;""),"Il faut seulement écrire un message d'erreur pour NC",""))</f>
      </c>
      <c r="I40" s="139" cm="1">
        <f t="array" ref="I40">E40</f>
        <v>0</v>
      </c>
      <c r="J40" s="139" cm="1">
        <f t="array" ref="J40">'P02'!E40</f>
        <v>0</v>
      </c>
      <c r="K40" s="139" cm="1">
        <f t="array" ref="K40">'P03'!K40</f>
        <v>0</v>
      </c>
      <c r="L40" s="103"/>
      <c r="M40" s="103"/>
      <c r="N40" s="103"/>
      <c r="O40" s="103"/>
      <c r="P40" s="103"/>
      <c r="Q40" s="103"/>
      <c r="R40" s="103"/>
      <c r="S40" s="103"/>
      <c r="T40" s="103"/>
      <c r="U40" s="103"/>
    </row>
    <row r="41" ht="30" customHeight="1">
      <c r="A41" s="135">
        <v>40</v>
      </c>
      <c r="B41" t="s" s="129">
        <v>142</v>
      </c>
      <c r="C41" t="s" s="144">
        <v>143</v>
      </c>
      <c r="D41" s="138"/>
      <c r="E41" s="137"/>
      <c r="F41" s="137"/>
      <c r="G41" s="138"/>
      <c r="H41" t="str" s="138" cm="1">
        <f t="array" ref="H41">IF(AND(E41="NC",G41=""),"Il manque un message d'erreur",IF(AND(E41&lt;&gt;"NC",G41&lt;&gt;""),"Il faut seulement écrire un message d'erreur pour NC",""))</f>
      </c>
      <c r="I41" s="139" cm="1">
        <f t="array" ref="I41">E41</f>
        <v>0</v>
      </c>
      <c r="J41" s="139" cm="1">
        <f t="array" ref="J41">'P02'!E41</f>
        <v>0</v>
      </c>
      <c r="K41" s="139" cm="1">
        <f t="array" ref="K41">'P03'!K41</f>
        <v>0</v>
      </c>
      <c r="L41" s="103"/>
      <c r="M41" s="103"/>
      <c r="N41" s="103"/>
      <c r="O41" s="103"/>
      <c r="P41" s="103"/>
      <c r="Q41" s="103"/>
      <c r="R41" s="103"/>
      <c r="S41" s="103"/>
      <c r="T41" s="103"/>
      <c r="U41" s="103"/>
    </row>
    <row r="42" ht="30" customHeight="1">
      <c r="A42" s="135">
        <v>41</v>
      </c>
      <c r="B42" t="s" s="129">
        <v>144</v>
      </c>
      <c r="C42" t="s" s="144">
        <v>145</v>
      </c>
      <c r="D42" s="145" cm="1">
        <f t="array" ref="D42">IF(OR(E41="NA",E41="NC"),"NA",T49)</f>
        <v>0</v>
      </c>
      <c r="E42" s="137"/>
      <c r="F42" s="137"/>
      <c r="G42" s="138"/>
      <c r="H42" t="str" s="138" cm="1">
        <f t="array" ref="H42">IF(AND(E42="NC",G42=""),"Il manque un message d'erreur",IF(AND(E42&lt;&gt;"NC",G42&lt;&gt;""),"Il faut seulement écrire un message d'erreur pour NC",""))</f>
      </c>
      <c r="I42" s="139" cm="1">
        <f t="array" ref="I42">E42</f>
        <v>0</v>
      </c>
      <c r="J42" s="139" cm="1">
        <f t="array" ref="J42">'P02'!E42</f>
        <v>0</v>
      </c>
      <c r="K42" s="139" cm="1">
        <f t="array" ref="K42">'P03'!K42</f>
        <v>0</v>
      </c>
      <c r="L42" s="103"/>
      <c r="M42" s="103"/>
      <c r="N42" s="103"/>
      <c r="O42" s="103"/>
      <c r="P42" s="103"/>
      <c r="Q42" s="103"/>
      <c r="R42" s="103"/>
      <c r="S42" s="103"/>
      <c r="T42" s="103"/>
      <c r="U42" s="103"/>
    </row>
    <row r="43" ht="30" customHeight="1">
      <c r="A43" s="135">
        <v>42</v>
      </c>
      <c r="B43" t="s" s="129">
        <v>146</v>
      </c>
      <c r="C43" t="s" s="144">
        <v>147</v>
      </c>
      <c r="D43" s="145" cm="1">
        <f t="array" ref="D43">IF(OR(E41="NA",E41="NC"),"NA",T50)</f>
        <v>0</v>
      </c>
      <c r="E43" s="137"/>
      <c r="F43" s="137"/>
      <c r="G43" s="138"/>
      <c r="H43" t="str" s="138" cm="1">
        <f t="array" ref="H43">IF(AND(E43="NC",G43=""),"Il manque un message d'erreur",IF(AND(E43&lt;&gt;"NC",G43&lt;&gt;""),"Il faut seulement écrire un message d'erreur pour NC",""))</f>
      </c>
      <c r="I43" s="139" cm="1">
        <f t="array" ref="I43">E43</f>
        <v>0</v>
      </c>
      <c r="J43" s="139" cm="1">
        <f t="array" ref="J43">'P02'!E43</f>
        <v>0</v>
      </c>
      <c r="K43" s="139" cm="1">
        <f t="array" ref="K43">'P03'!K43</f>
        <v>0</v>
      </c>
      <c r="L43" s="103"/>
      <c r="M43" s="103"/>
      <c r="N43" s="103"/>
      <c r="O43" s="103"/>
      <c r="P43" s="103"/>
      <c r="Q43" s="103"/>
      <c r="R43" s="103"/>
      <c r="S43" s="103"/>
      <c r="T43" s="103"/>
      <c r="U43" s="103"/>
    </row>
    <row r="44" ht="30" customHeight="1">
      <c r="A44" s="135">
        <v>43</v>
      </c>
      <c r="B44" t="s" s="129">
        <v>148</v>
      </c>
      <c r="C44" t="s" s="144">
        <v>149</v>
      </c>
      <c r="D44" s="138"/>
      <c r="E44" s="137"/>
      <c r="F44" s="137"/>
      <c r="G44" s="138"/>
      <c r="H44" t="str" s="138" cm="1">
        <f t="array" ref="H44">IF(AND(E44="NC",G44=""),"Il manque un message d'erreur",IF(AND(E44&lt;&gt;"NC",G44&lt;&gt;""),"Il faut seulement écrire un message d'erreur pour NC",""))</f>
      </c>
      <c r="I44" s="139" cm="1">
        <f t="array" ref="I44">E44</f>
        <v>0</v>
      </c>
      <c r="J44" s="139" cm="1">
        <f t="array" ref="J44">'P02'!E44</f>
        <v>0</v>
      </c>
      <c r="K44" s="139" cm="1">
        <f t="array" ref="K44">'P03'!K44</f>
        <v>0</v>
      </c>
      <c r="L44" s="103"/>
      <c r="M44" s="103"/>
      <c r="N44" s="103"/>
      <c r="O44" s="103"/>
      <c r="P44" s="103"/>
      <c r="Q44" s="103"/>
      <c r="R44" s="103"/>
      <c r="S44" s="103"/>
      <c r="T44" s="103"/>
      <c r="U44" s="103"/>
    </row>
    <row r="45" ht="30" customHeight="1">
      <c r="A45" s="135">
        <v>44</v>
      </c>
      <c r="B45" t="s" s="129">
        <v>150</v>
      </c>
      <c r="C45" t="s" s="152">
        <v>151</v>
      </c>
      <c r="D45" s="138"/>
      <c r="E45" s="137"/>
      <c r="F45" s="137"/>
      <c r="G45" s="138"/>
      <c r="H45" t="str" s="138" cm="1">
        <f t="array" ref="H45">IF(AND(E45="NC",G45=""),"Il manque un message d'erreur",IF(AND(E45&lt;&gt;"NC",G45&lt;&gt;""),"Il faut seulement écrire un message d'erreur pour NC",""))</f>
      </c>
      <c r="I45" s="139" cm="1">
        <f t="array" ref="I45">E45</f>
        <v>0</v>
      </c>
      <c r="J45" s="139" cm="1">
        <f t="array" ref="J45">'P02'!E45</f>
        <v>0</v>
      </c>
      <c r="K45" s="139" cm="1">
        <f t="array" ref="K45">'P03'!K45</f>
        <v>0</v>
      </c>
      <c r="L45" s="103"/>
      <c r="M45" s="103"/>
      <c r="N45" s="103"/>
      <c r="O45" s="103"/>
      <c r="P45" s="103"/>
      <c r="Q45" s="103"/>
      <c r="R45" s="103"/>
      <c r="S45" s="103"/>
      <c r="T45" s="103"/>
      <c r="U45" s="103"/>
    </row>
    <row r="46" ht="45" customHeight="1">
      <c r="A46" s="135">
        <v>45</v>
      </c>
      <c r="B46" t="s" s="129">
        <v>152</v>
      </c>
      <c r="C46" t="s" s="130">
        <v>153</v>
      </c>
      <c r="D46" s="136"/>
      <c r="E46" s="137"/>
      <c r="F46" s="137"/>
      <c r="G46" s="138"/>
      <c r="H46" t="str" s="138" cm="1">
        <f t="array" ref="H46">IF(AND(E46="NC",G46=""),"Il manque un message d'erreur",IF(AND(E46&lt;&gt;"NC",G46&lt;&gt;""),"Il faut seulement écrire un message d'erreur pour NC",""))</f>
      </c>
      <c r="I46" s="139" cm="1">
        <f t="array" ref="I46">E46</f>
        <v>0</v>
      </c>
      <c r="J46" s="139" cm="1">
        <f t="array" ref="J46">'P02'!E46</f>
        <v>0</v>
      </c>
      <c r="K46" s="139" cm="1">
        <f t="array" ref="K46">'P03'!K46</f>
        <v>0</v>
      </c>
      <c r="L46" s="103"/>
      <c r="M46" s="103"/>
      <c r="N46" s="103"/>
      <c r="O46" s="103"/>
      <c r="P46" s="103"/>
      <c r="Q46" s="103"/>
      <c r="R46" s="103"/>
      <c r="S46" s="103"/>
      <c r="T46" s="103"/>
      <c r="U46" s="103"/>
    </row>
    <row r="47" ht="30" customHeight="1">
      <c r="A47" s="135">
        <v>46</v>
      </c>
      <c r="B47" t="s" s="129">
        <v>154</v>
      </c>
      <c r="C47" t="s" s="130">
        <v>155</v>
      </c>
      <c r="D47" s="153"/>
      <c r="E47" s="137"/>
      <c r="F47" s="137"/>
      <c r="G47" s="138"/>
      <c r="H47" t="str" s="138" cm="1">
        <f t="array" ref="H47">IF(AND(E47="NC",G47=""),"Il manque un message d'erreur",IF(AND(E47&lt;&gt;"NC",G47&lt;&gt;""),"Il faut seulement écrire un message d'erreur pour NC",""))</f>
      </c>
      <c r="I47" s="139" cm="1">
        <f t="array" ref="I47">E47</f>
        <v>0</v>
      </c>
      <c r="J47" s="139" cm="1">
        <f t="array" ref="J47">'P02'!E47</f>
        <v>0</v>
      </c>
      <c r="K47" s="139" cm="1">
        <f t="array" ref="K47">'P03'!K47</f>
        <v>0</v>
      </c>
      <c r="L47" s="103"/>
      <c r="M47" s="103"/>
      <c r="N47" s="103"/>
      <c r="O47" s="103"/>
      <c r="P47" s="103"/>
      <c r="Q47" s="103"/>
      <c r="R47" s="103"/>
      <c r="S47" s="103"/>
      <c r="T47" s="103"/>
      <c r="U47" s="103"/>
    </row>
    <row r="48" ht="30" customHeight="1">
      <c r="A48" s="135">
        <v>47</v>
      </c>
      <c r="B48" t="s" s="129">
        <v>156</v>
      </c>
      <c r="C48" t="s" s="130">
        <v>157</v>
      </c>
      <c r="D48" s="136"/>
      <c r="E48" s="137"/>
      <c r="F48" s="137"/>
      <c r="G48" s="138"/>
      <c r="H48" t="str" s="138" cm="1">
        <f t="array" ref="H48">IF(AND(E48="NC",G48=""),"Il manque un message d'erreur",IF(AND(E48&lt;&gt;"NC",G48&lt;&gt;""),"Il faut seulement écrire un message d'erreur pour NC",""))</f>
      </c>
      <c r="I48" s="139" cm="1">
        <f t="array" ref="I48">E48</f>
        <v>0</v>
      </c>
      <c r="J48" s="139" cm="1">
        <f t="array" ref="J48">'P02'!E48</f>
        <v>0</v>
      </c>
      <c r="K48" s="139" cm="1">
        <f t="array" ref="K48">'P03'!K48</f>
        <v>0</v>
      </c>
      <c r="L48" s="103"/>
      <c r="M48" s="103"/>
      <c r="N48" s="103"/>
      <c r="O48" s="103"/>
      <c r="P48" s="103"/>
      <c r="Q48" s="103"/>
      <c r="R48" s="103"/>
      <c r="S48" s="103"/>
      <c r="T48" s="103"/>
      <c r="U48" s="103"/>
    </row>
    <row r="49" ht="30" customHeight="1">
      <c r="A49" s="135">
        <v>48</v>
      </c>
      <c r="B49" t="s" s="129">
        <v>158</v>
      </c>
      <c r="C49" t="s" s="130">
        <v>159</v>
      </c>
      <c r="D49" s="136"/>
      <c r="E49" s="137"/>
      <c r="F49" s="137"/>
      <c r="G49" s="138"/>
      <c r="H49" t="str" s="138" cm="1">
        <f t="array" ref="H49">IF(AND(E49="NC",G49=""),"Il manque un message d'erreur",IF(AND(E49&lt;&gt;"NC",G49&lt;&gt;""),"Il faut seulement écrire un message d'erreur pour NC",""))</f>
      </c>
      <c r="I49" s="139" cm="1">
        <f t="array" ref="I49">E49</f>
        <v>0</v>
      </c>
      <c r="J49" s="139" cm="1">
        <f t="array" ref="J49">'P02'!E49</f>
        <v>0</v>
      </c>
      <c r="K49" s="139" cm="1">
        <f t="array" ref="K49">'P03'!K49</f>
        <v>0</v>
      </c>
      <c r="L49" s="103"/>
      <c r="M49" s="103"/>
      <c r="N49" s="103"/>
      <c r="O49" s="103"/>
      <c r="P49" s="103"/>
      <c r="Q49" s="103"/>
      <c r="R49" s="103"/>
      <c r="S49" s="103"/>
      <c r="T49" s="103"/>
      <c r="U49" s="103"/>
    </row>
    <row r="50" ht="30" customHeight="1">
      <c r="A50" s="135">
        <v>49</v>
      </c>
      <c r="B50" t="s" s="129">
        <v>160</v>
      </c>
      <c r="C50" t="s" s="130">
        <v>161</v>
      </c>
      <c r="D50" s="136"/>
      <c r="E50" s="137"/>
      <c r="F50" s="137"/>
      <c r="G50" s="138"/>
      <c r="H50" t="str" s="138" cm="1">
        <f t="array" ref="H50">IF(AND(E50="NC",G50=""),"Il manque un message d'erreur",IF(AND(E50&lt;&gt;"NC",G50&lt;&gt;""),"Il faut seulement écrire un message d'erreur pour NC",""))</f>
      </c>
      <c r="I50" s="139" cm="1">
        <f t="array" ref="I50">E50</f>
        <v>0</v>
      </c>
      <c r="J50" s="139" cm="1">
        <f t="array" ref="J50">'P02'!E50</f>
        <v>0</v>
      </c>
      <c r="K50" s="139" cm="1">
        <f t="array" ref="K50">'P03'!K50</f>
        <v>0</v>
      </c>
      <c r="L50" s="103"/>
      <c r="M50" s="103"/>
      <c r="N50" s="103"/>
      <c r="O50" s="103"/>
      <c r="P50" s="103"/>
      <c r="Q50" s="103"/>
      <c r="R50" s="103"/>
      <c r="S50" s="103"/>
      <c r="T50" s="103"/>
      <c r="U50" s="103"/>
    </row>
    <row r="51" ht="30" customHeight="1">
      <c r="A51" s="135">
        <v>50</v>
      </c>
      <c r="B51" t="s" s="129">
        <v>162</v>
      </c>
      <c r="C51" t="s" s="154">
        <v>163</v>
      </c>
      <c r="D51" s="138"/>
      <c r="E51" s="137"/>
      <c r="F51" s="137"/>
      <c r="G51" s="138"/>
      <c r="H51" t="str" s="138" cm="1">
        <f t="array" ref="H51">IF(AND(E51="NC",G51=""),"Il manque un message d'erreur",IF(AND(E51&lt;&gt;"NC",G51&lt;&gt;""),"Il faut seulement écrire un message d'erreur pour NC",""))</f>
      </c>
      <c r="I51" s="139" cm="1">
        <f t="array" ref="I51">E51</f>
        <v>0</v>
      </c>
      <c r="J51" s="139" cm="1">
        <f t="array" ref="J51">'P02'!E51</f>
        <v>0</v>
      </c>
      <c r="K51" s="139" cm="1">
        <f t="array" ref="K51">'P03'!K51</f>
        <v>0</v>
      </c>
      <c r="L51" s="103"/>
      <c r="M51" s="103"/>
      <c r="N51" s="103"/>
      <c r="O51" s="103"/>
      <c r="P51" s="103"/>
      <c r="Q51" s="103"/>
      <c r="R51" s="103"/>
      <c r="S51" s="103"/>
      <c r="T51" s="103"/>
      <c r="U51" s="103"/>
    </row>
    <row r="52" ht="30" customHeight="1">
      <c r="A52" s="135">
        <v>51</v>
      </c>
      <c r="B52" t="s" s="129">
        <v>164</v>
      </c>
      <c r="C52" t="s" s="144">
        <v>165</v>
      </c>
      <c r="D52" s="138"/>
      <c r="E52" s="137"/>
      <c r="F52" s="137"/>
      <c r="G52" s="138"/>
      <c r="H52" t="str" s="138" cm="1">
        <f t="array" ref="H52">IF(AND(E52="NC",G52=""),"Il manque un message d'erreur",IF(AND(E52&lt;&gt;"NC",G52&lt;&gt;""),"Il faut seulement écrire un message d'erreur pour NC",""))</f>
      </c>
      <c r="I52" s="139" cm="1">
        <f t="array" ref="I52">E52</f>
        <v>0</v>
      </c>
      <c r="J52" s="139" cm="1">
        <f t="array" ref="J52">'P02'!E52</f>
        <v>0</v>
      </c>
      <c r="K52" s="139" cm="1">
        <f t="array" ref="K52">'P03'!K52</f>
        <v>0</v>
      </c>
      <c r="L52" s="103"/>
      <c r="M52" s="103"/>
      <c r="N52" s="103"/>
      <c r="O52" s="103"/>
      <c r="P52" s="103"/>
      <c r="Q52" s="103"/>
      <c r="R52" s="103"/>
      <c r="S52" s="103"/>
      <c r="T52" s="103"/>
      <c r="U52" s="103"/>
    </row>
    <row r="53" ht="30" customHeight="1">
      <c r="A53" s="135">
        <v>52</v>
      </c>
      <c r="B53" t="s" s="129">
        <v>166</v>
      </c>
      <c r="C53" t="s" s="144">
        <v>167</v>
      </c>
      <c r="D53" s="138"/>
      <c r="E53" s="137"/>
      <c r="F53" s="137"/>
      <c r="G53" s="138"/>
      <c r="H53" t="str" s="138" cm="1">
        <f t="array" ref="H53">IF(AND(E53="NC",G53=""),"Il manque un message d'erreur",IF(AND(E53&lt;&gt;"NC",G53&lt;&gt;""),"Il faut seulement écrire un message d'erreur pour NC",""))</f>
      </c>
      <c r="I53" s="139" cm="1">
        <f t="array" ref="I53">E53</f>
        <v>0</v>
      </c>
      <c r="J53" s="139" cm="1">
        <f t="array" ref="J53">'P02'!E53</f>
        <v>0</v>
      </c>
      <c r="K53" s="139" cm="1">
        <f t="array" ref="K53">'P03'!K53</f>
        <v>0</v>
      </c>
      <c r="L53" s="103"/>
      <c r="M53" s="103"/>
      <c r="N53" s="103"/>
      <c r="O53" s="103"/>
      <c r="P53" s="103"/>
      <c r="Q53" s="103"/>
      <c r="R53" s="103"/>
      <c r="S53" s="103"/>
      <c r="T53" s="103"/>
      <c r="U53" s="103"/>
    </row>
  </sheetData>
  <conditionalFormatting sqref="D1:D46 D48:D53">
    <cfRule type="cellIs" dxfId="0" priority="1" operator="equal" stopIfTrue="1">
      <formula>"NA"</formula>
    </cfRule>
  </conditionalFormatting>
  <conditionalFormatting sqref="E1">
    <cfRule type="cellIs" dxfId="1" priority="1" operator="equal" stopIfTrue="1">
      <formula>"NT"</formula>
    </cfRule>
  </conditionalFormatting>
  <conditionalFormatting sqref="I1:K53">
    <cfRule type="cellIs" dxfId="2" priority="1" operator="equal" stopIfTrue="1">
      <formula>"NC"</formula>
    </cfRule>
  </conditionalFormatting>
  <conditionalFormatting sqref="E2:E53">
    <cfRule type="cellIs" dxfId="3" priority="1" operator="equal" stopIfTrue="1">
      <formula>"NT"</formula>
    </cfRule>
  </conditionalFormatting>
  <conditionalFormatting sqref="D47">
    <cfRule type="cellIs" dxfId="4" priority="1" operator="equal" stopIfTrue="1">
      <formula>"NT"</formula>
    </cfRule>
    <cfRule type="cellIs" dxfId="5" priority="2" operator="equal" stopIfTrue="1">
      <formula>"NA"</formula>
    </cfRule>
  </conditionalFormatting>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7.xml><?xml version="1.0" encoding="utf-8"?>
<worksheet xmlns:r="http://schemas.openxmlformats.org/officeDocument/2006/relationships" xmlns="http://schemas.openxmlformats.org/spreadsheetml/2006/main">
  <dimension ref="A1:U53"/>
  <sheetViews>
    <sheetView workbookViewId="0" showGridLines="0" defaultGridColor="1"/>
  </sheetViews>
  <sheetFormatPr defaultColWidth="8.71429" defaultRowHeight="15.75" customHeight="1" outlineLevelRow="0" outlineLevelCol="0"/>
  <cols>
    <col min="1" max="2" width="6" style="155" customWidth="1"/>
    <col min="3" max="3" width="54" style="155" customWidth="1"/>
    <col min="4" max="4" width="8.86719" style="155" customWidth="1"/>
    <col min="5" max="5" width="5.28906" style="155" customWidth="1"/>
    <col min="6" max="6" width="5" style="155" customWidth="1"/>
    <col min="7" max="7" width="46" style="155" customWidth="1"/>
    <col min="8" max="8" width="22.7344" style="155" customWidth="1"/>
    <col min="9" max="9" width="5.86719" style="155" customWidth="1"/>
    <col min="10" max="10" width="12.7344" style="155" customWidth="1"/>
    <col min="11" max="11" width="4.86719" style="155" customWidth="1"/>
    <col min="12" max="21" width="8.86719" style="155" customWidth="1"/>
    <col min="22" max="16384" width="8.73438" style="155" customWidth="1"/>
  </cols>
  <sheetData>
    <row r="1" ht="101.25" customHeight="1">
      <c r="A1" t="s" s="119">
        <v>57</v>
      </c>
      <c r="B1" t="s" s="120">
        <v>58</v>
      </c>
      <c r="C1" t="s" s="121">
        <v>59</v>
      </c>
      <c r="D1" t="s" s="122">
        <v>168</v>
      </c>
      <c r="E1" t="s" s="123">
        <v>23</v>
      </c>
      <c r="F1" t="s" s="123">
        <v>61</v>
      </c>
      <c r="G1" t="s" s="124">
        <v>62</v>
      </c>
      <c r="H1" t="s" s="156">
        <v>63</v>
      </c>
      <c r="I1" t="s" s="157">
        <v>7</v>
      </c>
      <c r="J1" t="str" s="158" cm="1">
        <f t="array" ref="J1">"P02 "&amp;COUNTA(E2:E53)&amp;"/"&amp;COUNTA(C2:C53)</f>
        <v>P02 0/52</v>
      </c>
      <c r="K1" t="s" s="156">
        <v>9</v>
      </c>
      <c r="L1" s="62"/>
      <c r="M1" s="7"/>
      <c r="N1" s="7"/>
      <c r="O1" s="7"/>
      <c r="P1" s="7"/>
      <c r="Q1" s="7"/>
      <c r="R1" s="7"/>
      <c r="S1" s="7"/>
      <c r="T1" s="7"/>
      <c r="U1" s="7"/>
    </row>
    <row r="2" ht="42.75" customHeight="1">
      <c r="A2" s="128">
        <v>1</v>
      </c>
      <c r="B2" t="s" s="129">
        <v>65</v>
      </c>
      <c r="C2" t="s" s="130">
        <v>66</v>
      </c>
      <c r="D2" s="131"/>
      <c r="E2" s="132"/>
      <c r="F2" s="132"/>
      <c r="G2" s="133"/>
      <c r="H2" t="str" s="159" cm="1">
        <f t="array" ref="H2">IF(AND(E2="NC",G2=""),"Il manque un message d'erreur",IF(AND(E2&lt;&gt;"NC",G2&lt;&gt;""),"Il faut seulement écrire un message d'erreur pour NC",""))</f>
      </c>
      <c r="I2" s="134" cm="1">
        <f t="array" ref="I2">'P01'!E2</f>
        <v>0</v>
      </c>
      <c r="J2" s="134" cm="1">
        <f t="array" ref="J2">E2</f>
        <v>0</v>
      </c>
      <c r="K2" s="134" cm="1">
        <f t="array" ref="K2">'P03'!E2</f>
        <v>0</v>
      </c>
      <c r="L2" s="7"/>
      <c r="M2" s="7"/>
      <c r="N2" s="7"/>
      <c r="O2" s="7"/>
      <c r="P2" s="7"/>
      <c r="Q2" s="7"/>
      <c r="R2" s="7"/>
      <c r="S2" s="7"/>
      <c r="T2" s="7"/>
      <c r="U2" s="7"/>
    </row>
    <row r="3" ht="30" customHeight="1">
      <c r="A3" s="135">
        <v>2</v>
      </c>
      <c r="B3" t="s" s="129">
        <v>67</v>
      </c>
      <c r="C3" t="s" s="130">
        <v>68</v>
      </c>
      <c r="D3" s="136"/>
      <c r="E3" s="137"/>
      <c r="F3" s="137"/>
      <c r="G3" s="138"/>
      <c r="H3" t="str" s="160" cm="1">
        <f t="array" ref="H3">IF(AND(E3="NC",G3=""),"Il manque un message d'erreur",IF(AND(E3&lt;&gt;"NC",G3&lt;&gt;""),"Il faut seulement écrire un message d'erreur pour NC",""))</f>
      </c>
      <c r="I3" s="139" cm="1">
        <f t="array" ref="I3">'P01'!E3</f>
        <v>0</v>
      </c>
      <c r="J3" s="139" cm="1">
        <f t="array" ref="J3">E3</f>
        <v>0</v>
      </c>
      <c r="K3" s="139" cm="1">
        <f t="array" ref="K3">'P03'!E3</f>
        <v>0</v>
      </c>
      <c r="L3" s="7"/>
      <c r="M3" s="7"/>
      <c r="N3" s="7"/>
      <c r="O3" s="7"/>
      <c r="P3" s="7"/>
      <c r="Q3" s="7"/>
      <c r="R3" s="7"/>
      <c r="S3" s="7"/>
      <c r="T3" s="7"/>
      <c r="U3" s="7"/>
    </row>
    <row r="4" ht="30" customHeight="1">
      <c r="A4" s="135">
        <v>3</v>
      </c>
      <c r="B4" t="s" s="129">
        <v>69</v>
      </c>
      <c r="C4" t="s" s="130">
        <v>70</v>
      </c>
      <c r="D4" s="140" cm="1">
        <f t="array" ref="D4">IF(OR(E2="NA",E2="NC"),"NA",T3)</f>
        <v>0</v>
      </c>
      <c r="E4" s="137"/>
      <c r="F4" s="137"/>
      <c r="G4" s="138"/>
      <c r="H4" t="str" s="160" cm="1">
        <f t="array" ref="H4">IF(AND(E4="NC",G4=""),"Il manque un message d'erreur",IF(AND(E4&lt;&gt;"NC",G4&lt;&gt;""),"Il faut seulement écrire un message d'erreur pour NC",""))</f>
      </c>
      <c r="I4" s="139" cm="1">
        <f t="array" ref="I4">'P01'!E4</f>
        <v>0</v>
      </c>
      <c r="J4" s="139" cm="1">
        <f t="array" ref="J4">E4</f>
        <v>0</v>
      </c>
      <c r="K4" s="139" cm="1">
        <f t="array" ref="K4">'P03'!E4</f>
        <v>0</v>
      </c>
      <c r="L4" s="7"/>
      <c r="M4" s="7"/>
      <c r="N4" s="7"/>
      <c r="O4" s="7"/>
      <c r="P4" s="7"/>
      <c r="Q4" s="7"/>
      <c r="R4" s="7"/>
      <c r="S4" s="7"/>
      <c r="T4" s="7"/>
      <c r="U4" s="7"/>
    </row>
    <row r="5" ht="45" customHeight="1">
      <c r="A5" s="135">
        <v>4</v>
      </c>
      <c r="B5" t="s" s="129">
        <v>71</v>
      </c>
      <c r="C5" t="s" s="130">
        <v>72</v>
      </c>
      <c r="D5" s="136"/>
      <c r="E5" s="137"/>
      <c r="F5" s="137"/>
      <c r="G5" s="138"/>
      <c r="H5" t="str" s="160" cm="1">
        <f t="array" ref="H5">IF(AND(E5="NC",G5=""),"Il manque un message d'erreur",IF(AND(E5&lt;&gt;"NC",G5&lt;&gt;""),"Il faut seulement écrire un message d'erreur pour NC",""))</f>
      </c>
      <c r="I5" s="139" cm="1">
        <f t="array" ref="I5">'P01'!E5</f>
        <v>0</v>
      </c>
      <c r="J5" s="139" cm="1">
        <f t="array" ref="J5">E5</f>
        <v>0</v>
      </c>
      <c r="K5" s="139" cm="1">
        <f t="array" ref="K5">'P03'!E5</f>
        <v>0</v>
      </c>
      <c r="L5" s="7"/>
      <c r="M5" s="7"/>
      <c r="N5" s="7"/>
      <c r="O5" s="7"/>
      <c r="P5" s="7"/>
      <c r="Q5" s="7"/>
      <c r="R5" s="7"/>
      <c r="S5" s="7"/>
      <c r="T5" s="7"/>
      <c r="U5" s="7"/>
    </row>
    <row r="6" ht="30" customHeight="1">
      <c r="A6" s="135">
        <v>5</v>
      </c>
      <c r="B6" t="s" s="129">
        <v>73</v>
      </c>
      <c r="C6" t="s" s="130">
        <v>74</v>
      </c>
      <c r="D6" s="136"/>
      <c r="E6" s="137"/>
      <c r="F6" s="137"/>
      <c r="G6" s="138"/>
      <c r="H6" t="str" s="160" cm="1">
        <f t="array" ref="H6">IF(AND(E6="NC",G6=""),"Il manque un message d'erreur",IF(AND(E6&lt;&gt;"NC",G6&lt;&gt;""),"Il faut seulement écrire un message d'erreur pour NC",""))</f>
      </c>
      <c r="I6" s="139" cm="1">
        <f t="array" ref="I6">'P01'!E6</f>
        <v>0</v>
      </c>
      <c r="J6" s="139" cm="1">
        <f t="array" ref="J6">E6</f>
        <v>0</v>
      </c>
      <c r="K6" s="139" cm="1">
        <f t="array" ref="K6">'P03'!E6</f>
        <v>0</v>
      </c>
      <c r="L6" s="7"/>
      <c r="M6" s="7"/>
      <c r="N6" s="7"/>
      <c r="O6" s="7"/>
      <c r="P6" s="7"/>
      <c r="Q6" s="7"/>
      <c r="R6" s="7"/>
      <c r="S6" s="7"/>
      <c r="T6" s="7"/>
      <c r="U6" s="7"/>
    </row>
    <row r="7" ht="30" customHeight="1">
      <c r="A7" s="135">
        <v>6</v>
      </c>
      <c r="B7" t="s" s="129">
        <v>75</v>
      </c>
      <c r="C7" t="s" s="130">
        <v>76</v>
      </c>
      <c r="D7" s="140" cm="1">
        <f t="array" ref="D7">IF(OR(E2="NA",E2="NC"),"NA",T6)</f>
        <v>0</v>
      </c>
      <c r="E7" s="137"/>
      <c r="F7" s="137"/>
      <c r="G7" s="138"/>
      <c r="H7" t="str" s="160" cm="1">
        <f t="array" ref="H7">IF(AND(E7="NC",G7=""),"Il manque un message d'erreur",IF(AND(E7&lt;&gt;"NC",G7&lt;&gt;""),"Il faut seulement écrire un message d'erreur pour NC",""))</f>
      </c>
      <c r="I7" s="139" cm="1">
        <f t="array" ref="I7">'P01'!E7</f>
        <v>0</v>
      </c>
      <c r="J7" s="139" cm="1">
        <f t="array" ref="J7">E7</f>
        <v>0</v>
      </c>
      <c r="K7" s="139" cm="1">
        <f t="array" ref="K7">'P03'!E7</f>
        <v>0</v>
      </c>
      <c r="L7" s="7"/>
      <c r="M7" s="7"/>
      <c r="N7" s="7"/>
      <c r="O7" s="7"/>
      <c r="P7" s="7"/>
      <c r="Q7" s="7"/>
      <c r="R7" s="7"/>
      <c r="S7" s="7"/>
      <c r="T7" s="7"/>
      <c r="U7" s="7"/>
    </row>
    <row r="8" ht="30" customHeight="1">
      <c r="A8" s="135">
        <v>7</v>
      </c>
      <c r="B8" t="s" s="129">
        <v>77</v>
      </c>
      <c r="C8" t="s" s="141">
        <v>78</v>
      </c>
      <c r="D8" s="140" cm="1">
        <f t="array" ref="D8">IF(OR(E2="NA",E2="NC"),"NA",T7)</f>
        <v>0</v>
      </c>
      <c r="E8" s="137"/>
      <c r="F8" s="137"/>
      <c r="G8" s="138"/>
      <c r="H8" t="str" s="160" cm="1">
        <f t="array" ref="H8">IF(AND(E8="NC",G8=""),"Il manque un message d'erreur",IF(AND(E8&lt;&gt;"NC",G8&lt;&gt;""),"Il faut seulement écrire un message d'erreur pour NC",""))</f>
      </c>
      <c r="I8" s="139" cm="1">
        <f t="array" ref="I8">'P01'!E8</f>
        <v>0</v>
      </c>
      <c r="J8" s="139" cm="1">
        <f t="array" ref="J8">E8</f>
        <v>0</v>
      </c>
      <c r="K8" s="139" cm="1">
        <f t="array" ref="K8">'P03'!E8</f>
        <v>0</v>
      </c>
      <c r="L8" s="7"/>
      <c r="M8" s="7"/>
      <c r="N8" s="7"/>
      <c r="O8" s="7"/>
      <c r="P8" s="7"/>
      <c r="Q8" s="7"/>
      <c r="R8" s="7"/>
      <c r="S8" s="7"/>
      <c r="T8" s="7"/>
      <c r="U8" s="7"/>
    </row>
    <row r="9" ht="16.6" customHeight="1">
      <c r="A9" s="135">
        <v>8</v>
      </c>
      <c r="B9" s="142">
        <v>2.1</v>
      </c>
      <c r="C9" t="s" s="143">
        <v>79</v>
      </c>
      <c r="D9" s="138"/>
      <c r="E9" s="137"/>
      <c r="F9" s="137"/>
      <c r="G9" s="138"/>
      <c r="H9" t="str" s="160" cm="1">
        <f t="array" ref="H9">IF(AND(E9="NC",G9=""),"Il manque un message d'erreur",IF(AND(E9&lt;&gt;"NC",G9&lt;&gt;""),"Il faut seulement écrire un message d'erreur pour NC",""))</f>
      </c>
      <c r="I9" s="139" cm="1">
        <f t="array" ref="I9">'P01'!E9</f>
        <v>0</v>
      </c>
      <c r="J9" s="139" cm="1">
        <f t="array" ref="J9">E9</f>
        <v>0</v>
      </c>
      <c r="K9" s="139" cm="1">
        <f t="array" ref="K9">'P03'!E9</f>
        <v>0</v>
      </c>
      <c r="L9" s="7"/>
      <c r="M9" s="7"/>
      <c r="N9" s="7"/>
      <c r="O9" s="7"/>
      <c r="P9" s="7"/>
      <c r="Q9" s="7"/>
      <c r="R9" s="7"/>
      <c r="S9" s="7"/>
      <c r="T9" s="7"/>
      <c r="U9" s="7"/>
    </row>
    <row r="10" ht="30" customHeight="1">
      <c r="A10" s="135">
        <v>9</v>
      </c>
      <c r="B10" t="s" s="129">
        <v>80</v>
      </c>
      <c r="C10" t="s" s="144">
        <v>81</v>
      </c>
      <c r="D10" s="138"/>
      <c r="E10" s="137"/>
      <c r="F10" s="137"/>
      <c r="G10" s="138"/>
      <c r="H10" t="str" s="160" cm="1">
        <f t="array" ref="H10">IF(AND(E10="NC",G10=""),"Il manque un message d'erreur",IF(AND(E10&lt;&gt;"NC",G10&lt;&gt;""),"Il faut seulement écrire un message d'erreur pour NC",""))</f>
      </c>
      <c r="I10" s="139" cm="1">
        <f t="array" ref="I10">'P01'!E10</f>
        <v>0</v>
      </c>
      <c r="J10" s="139" cm="1">
        <f t="array" ref="J10">E10</f>
        <v>0</v>
      </c>
      <c r="K10" s="139" cm="1">
        <f t="array" ref="K10">'P03'!E10</f>
        <v>0</v>
      </c>
      <c r="L10" s="7"/>
      <c r="M10" s="7"/>
      <c r="N10" s="7"/>
      <c r="O10" s="7"/>
      <c r="P10" s="7"/>
      <c r="Q10" s="7"/>
      <c r="R10" s="7"/>
      <c r="S10" s="7"/>
      <c r="T10" s="7"/>
      <c r="U10" s="7"/>
    </row>
    <row r="11" ht="30" customHeight="1">
      <c r="A11" s="135">
        <v>10</v>
      </c>
      <c r="B11" t="s" s="129">
        <v>82</v>
      </c>
      <c r="C11" t="s" s="144">
        <v>83</v>
      </c>
      <c r="D11" s="138"/>
      <c r="E11" s="137"/>
      <c r="F11" s="137"/>
      <c r="G11" s="138"/>
      <c r="H11" t="str" s="160" cm="1">
        <f t="array" ref="H11">IF(AND(E11="NC",G11=""),"Il manque un message d'erreur",IF(AND(E11&lt;&gt;"NC",G11&lt;&gt;""),"Il faut seulement écrire un message d'erreur pour NC",""))</f>
      </c>
      <c r="I11" s="139" cm="1">
        <f t="array" ref="I11">'P01'!E11</f>
        <v>0</v>
      </c>
      <c r="J11" s="139" cm="1">
        <f t="array" ref="J11">E11</f>
        <v>0</v>
      </c>
      <c r="K11" s="139" cm="1">
        <f t="array" ref="K11">'P03'!E11</f>
        <v>0</v>
      </c>
      <c r="L11" s="7"/>
      <c r="M11" s="7"/>
      <c r="N11" s="7"/>
      <c r="O11" s="7"/>
      <c r="P11" s="7"/>
      <c r="Q11" s="7"/>
      <c r="R11" s="7"/>
      <c r="S11" s="7"/>
      <c r="T11" s="7"/>
      <c r="U11" s="7"/>
    </row>
    <row r="12" ht="30" customHeight="1">
      <c r="A12" s="135">
        <v>11</v>
      </c>
      <c r="B12" t="s" s="129">
        <v>84</v>
      </c>
      <c r="C12" t="s" s="144">
        <v>85</v>
      </c>
      <c r="D12" s="138"/>
      <c r="E12" s="137"/>
      <c r="F12" s="137"/>
      <c r="G12" s="138"/>
      <c r="H12" t="str" s="160" cm="1">
        <f t="array" ref="H12">IF(AND(E12="NC",G12=""),"Il manque un message d'erreur",IF(AND(E12&lt;&gt;"NC",G12&lt;&gt;""),"Il faut seulement écrire un message d'erreur pour NC",""))</f>
      </c>
      <c r="I12" s="139" cm="1">
        <f t="array" ref="I12">'P01'!E12</f>
        <v>0</v>
      </c>
      <c r="J12" s="139" cm="1">
        <f t="array" ref="J12">E12</f>
        <v>0</v>
      </c>
      <c r="K12" s="139" cm="1">
        <f t="array" ref="K12">'P03'!E12</f>
        <v>0</v>
      </c>
      <c r="L12" s="7"/>
      <c r="M12" s="7"/>
      <c r="N12" s="7"/>
      <c r="O12" s="7"/>
      <c r="P12" s="7"/>
      <c r="Q12" s="7"/>
      <c r="R12" s="7"/>
      <c r="S12" s="7"/>
      <c r="T12" s="7"/>
      <c r="U12" s="7"/>
    </row>
    <row r="13" ht="45" customHeight="1">
      <c r="A13" s="135">
        <v>12</v>
      </c>
      <c r="B13" t="s" s="129">
        <v>86</v>
      </c>
      <c r="C13" t="s" s="144">
        <v>87</v>
      </c>
      <c r="D13" s="145" cm="1">
        <f t="array" ref="D13">IF(OR(E12="NA",E12="NC"),"NA",T13)</f>
        <v>0</v>
      </c>
      <c r="E13" s="137"/>
      <c r="F13" s="137"/>
      <c r="G13" s="138"/>
      <c r="H13" t="str" s="160" cm="1">
        <f t="array" ref="H13">IF(AND(E13="NC",G13=""),"Il manque un message d'erreur",IF(AND(E13&lt;&gt;"NC",G13&lt;&gt;""),"Il faut seulement écrire un message d'erreur pour NC",""))</f>
      </c>
      <c r="I13" s="139" cm="1">
        <f t="array" ref="I13">'P01'!E13</f>
        <v>0</v>
      </c>
      <c r="J13" s="139" cm="1">
        <f t="array" ref="J13">E13</f>
        <v>0</v>
      </c>
      <c r="K13" s="139" cm="1">
        <f t="array" ref="K13">'P03'!E13</f>
        <v>0</v>
      </c>
      <c r="L13" s="7"/>
      <c r="M13" s="7"/>
      <c r="N13" s="7"/>
      <c r="O13" s="7"/>
      <c r="P13" s="7"/>
      <c r="Q13" s="7"/>
      <c r="R13" s="7"/>
      <c r="S13" s="7"/>
      <c r="T13" s="7"/>
      <c r="U13" s="7"/>
    </row>
    <row r="14" ht="30" customHeight="1">
      <c r="A14" s="135">
        <v>13</v>
      </c>
      <c r="B14" t="s" s="129">
        <v>88</v>
      </c>
      <c r="C14" t="s" s="144">
        <v>89</v>
      </c>
      <c r="D14" s="145" cm="1">
        <f t="array" ref="D14">IF(OR(E12="NA",E12="NC"),"NA",T14)</f>
        <v>0</v>
      </c>
      <c r="E14" s="137"/>
      <c r="F14" s="137"/>
      <c r="G14" s="138"/>
      <c r="H14" t="str" s="160" cm="1">
        <f t="array" ref="H14">IF(AND(E14="NC",G14=""),"Il manque un message d'erreur",IF(AND(E14&lt;&gt;"NC",G14&lt;&gt;""),"Il faut seulement écrire un message d'erreur pour NC",""))</f>
      </c>
      <c r="I14" s="139" cm="1">
        <f t="array" ref="I14">'P01'!E14</f>
        <v>0</v>
      </c>
      <c r="J14" s="139" cm="1">
        <f t="array" ref="J14">E14</f>
        <v>0</v>
      </c>
      <c r="K14" s="139" cm="1">
        <f t="array" ref="K14">'P03'!E14</f>
        <v>0</v>
      </c>
      <c r="L14" s="7"/>
      <c r="M14" s="7"/>
      <c r="N14" s="7"/>
      <c r="O14" s="7"/>
      <c r="P14" s="7"/>
      <c r="Q14" s="7"/>
      <c r="R14" s="7"/>
      <c r="S14" s="7"/>
      <c r="T14" s="7"/>
      <c r="U14" s="7"/>
    </row>
    <row r="15" ht="30" customHeight="1">
      <c r="A15" s="135">
        <v>14</v>
      </c>
      <c r="B15" t="s" s="129">
        <v>90</v>
      </c>
      <c r="C15" t="s" s="144">
        <v>91</v>
      </c>
      <c r="D15" s="145" cm="1">
        <f t="array" ref="D15">IF(OR(E12="NA",E12="NC"),"NA",T15)</f>
        <v>0</v>
      </c>
      <c r="E15" s="137"/>
      <c r="F15" s="137"/>
      <c r="G15" s="138"/>
      <c r="H15" t="str" s="160" cm="1">
        <f t="array" ref="H15">IF(AND(E15="NC",G15=""),"Il manque un message d'erreur",IF(AND(E15&lt;&gt;"NC",G15&lt;&gt;""),"Il faut seulement écrire un message d'erreur pour NC",""))</f>
      </c>
      <c r="I15" s="139" cm="1">
        <f t="array" ref="I15">'P01'!E15</f>
        <v>0</v>
      </c>
      <c r="J15" s="139" cm="1">
        <f t="array" ref="J15">E15</f>
        <v>0</v>
      </c>
      <c r="K15" s="139" cm="1">
        <f t="array" ref="K15">'P03'!E15</f>
        <v>0</v>
      </c>
      <c r="L15" s="7"/>
      <c r="M15" s="7"/>
      <c r="N15" s="7"/>
      <c r="O15" s="7"/>
      <c r="P15" s="7"/>
      <c r="Q15" s="7"/>
      <c r="R15" s="7"/>
      <c r="S15" s="7"/>
      <c r="T15" s="7"/>
      <c r="U15" s="7"/>
    </row>
    <row r="16" ht="30" customHeight="1">
      <c r="A16" s="135">
        <v>15</v>
      </c>
      <c r="B16" t="s" s="129">
        <v>92</v>
      </c>
      <c r="C16" t="s" s="144">
        <v>93</v>
      </c>
      <c r="D16" s="138"/>
      <c r="E16" s="137"/>
      <c r="F16" s="137"/>
      <c r="G16" s="138"/>
      <c r="H16" t="str" s="160" cm="1">
        <f t="array" ref="H16">IF(AND(E16="NC",G16=""),"Il manque un message d'erreur",IF(AND(E16&lt;&gt;"NC",G16&lt;&gt;""),"Il faut seulement écrire un message d'erreur pour NC",""))</f>
      </c>
      <c r="I16" s="139" cm="1">
        <f t="array" ref="I16">'P01'!E16</f>
        <v>0</v>
      </c>
      <c r="J16" s="139" cm="1">
        <f t="array" ref="J16">E16</f>
        <v>0</v>
      </c>
      <c r="K16" s="139" cm="1">
        <f t="array" ref="K16">'P03'!E16</f>
        <v>0</v>
      </c>
      <c r="L16" s="7"/>
      <c r="M16" s="7"/>
      <c r="N16" s="7"/>
      <c r="O16" s="7"/>
      <c r="P16" s="7"/>
      <c r="Q16" s="7"/>
      <c r="R16" s="7"/>
      <c r="S16" s="7"/>
      <c r="T16" s="7"/>
      <c r="U16" s="7"/>
    </row>
    <row r="17" ht="30" customHeight="1">
      <c r="A17" s="135">
        <v>16</v>
      </c>
      <c r="B17" t="s" s="129">
        <v>94</v>
      </c>
      <c r="C17" t="s" s="144">
        <v>95</v>
      </c>
      <c r="D17" s="145" cm="1">
        <f t="array" ref="D17">IF(OR(E16="NA",E16="NC"),"NA",T21)</f>
        <v>0</v>
      </c>
      <c r="E17" s="137"/>
      <c r="F17" s="137"/>
      <c r="G17" s="138"/>
      <c r="H17" t="str" s="160" cm="1">
        <f t="array" ref="H17">IF(AND(E17="NC",G17=""),"Il manque un message d'erreur",IF(AND(E17&lt;&gt;"NC",G17&lt;&gt;""),"Il faut seulement écrire un message d'erreur pour NC",""))</f>
      </c>
      <c r="I17" s="139" cm="1">
        <f t="array" ref="I17">'P01'!E17</f>
        <v>0</v>
      </c>
      <c r="J17" s="139" cm="1">
        <f t="array" ref="J17">E17</f>
        <v>0</v>
      </c>
      <c r="K17" s="139" cm="1">
        <f t="array" ref="K17">'P03'!E17</f>
        <v>0</v>
      </c>
      <c r="L17" s="7"/>
      <c r="M17" s="7"/>
      <c r="N17" s="7"/>
      <c r="O17" s="7"/>
      <c r="P17" s="7"/>
      <c r="Q17" s="7"/>
      <c r="R17" s="7"/>
      <c r="S17" s="7"/>
      <c r="T17" s="7"/>
      <c r="U17" s="7"/>
    </row>
    <row r="18" ht="30" customHeight="1">
      <c r="A18" s="135">
        <v>17</v>
      </c>
      <c r="B18" t="s" s="129">
        <v>96</v>
      </c>
      <c r="C18" t="s" s="144">
        <v>97</v>
      </c>
      <c r="D18" s="138"/>
      <c r="E18" s="137"/>
      <c r="F18" s="137"/>
      <c r="G18" s="138"/>
      <c r="H18" t="str" s="160" cm="1">
        <f t="array" ref="H18">IF(AND(E18="NC",G18=""),"Il manque un message d'erreur",IF(AND(E18&lt;&gt;"NC",G18&lt;&gt;""),"Il faut seulement écrire un message d'erreur pour NC",""))</f>
      </c>
      <c r="I18" s="139" cm="1">
        <f t="array" ref="I18">'P01'!E18</f>
        <v>0</v>
      </c>
      <c r="J18" s="139" cm="1">
        <f t="array" ref="J18">E18</f>
        <v>0</v>
      </c>
      <c r="K18" s="139" cm="1">
        <f t="array" ref="K18">'P03'!E18</f>
        <v>0</v>
      </c>
      <c r="L18" s="7"/>
      <c r="M18" s="7"/>
      <c r="N18" s="7"/>
      <c r="O18" s="7"/>
      <c r="P18" s="7"/>
      <c r="Q18" s="7"/>
      <c r="R18" s="7"/>
      <c r="S18" s="7"/>
      <c r="T18" s="7"/>
      <c r="U18" s="7"/>
    </row>
    <row r="19" ht="30" customHeight="1">
      <c r="A19" s="135">
        <v>18</v>
      </c>
      <c r="B19" t="s" s="129">
        <v>98</v>
      </c>
      <c r="C19" t="s" s="144">
        <v>99</v>
      </c>
      <c r="D19" s="145" cm="1">
        <f t="array" ref="D19">IF(OR(E12="NA",E12="NC"),"NA",T16)</f>
        <v>0</v>
      </c>
      <c r="E19" s="137"/>
      <c r="F19" s="137"/>
      <c r="G19" s="138"/>
      <c r="H19" t="str" s="160" cm="1">
        <f t="array" ref="H19">IF(AND(E19="NC",G19=""),"Il manque un message d'erreur",IF(AND(E19&lt;&gt;"NC",G19&lt;&gt;""),"Il faut seulement écrire un message d'erreur pour NC",""))</f>
      </c>
      <c r="I19" s="139" cm="1">
        <f t="array" ref="I19">'P01'!E19</f>
        <v>0</v>
      </c>
      <c r="J19" s="139" cm="1">
        <f t="array" ref="J19">E19</f>
        <v>0</v>
      </c>
      <c r="K19" s="139" cm="1">
        <f t="array" ref="K19">'P03'!E19</f>
        <v>0</v>
      </c>
      <c r="L19" s="7"/>
      <c r="M19" s="7"/>
      <c r="N19" s="7"/>
      <c r="O19" s="7"/>
      <c r="P19" s="7"/>
      <c r="Q19" s="7"/>
      <c r="R19" s="7"/>
      <c r="S19" s="7"/>
      <c r="T19" s="7"/>
      <c r="U19" s="7"/>
    </row>
    <row r="20" ht="30" customHeight="1">
      <c r="A20" s="135">
        <v>19</v>
      </c>
      <c r="B20" t="s" s="129">
        <v>100</v>
      </c>
      <c r="C20" t="s" s="144">
        <v>101</v>
      </c>
      <c r="D20" s="138"/>
      <c r="E20" s="137"/>
      <c r="F20" s="137"/>
      <c r="G20" s="138"/>
      <c r="H20" t="str" s="160" cm="1">
        <f t="array" ref="H20">IF(AND(E20="NC",G20=""),"Il manque un message d'erreur",IF(AND(E20&lt;&gt;"NC",G20&lt;&gt;""),"Il faut seulement écrire un message d'erreur pour NC",""))</f>
      </c>
      <c r="I20" s="139" cm="1">
        <f t="array" ref="I20">'P01'!E20</f>
        <v>0</v>
      </c>
      <c r="J20" s="139" cm="1">
        <f t="array" ref="J20">E20</f>
        <v>0</v>
      </c>
      <c r="K20" s="139" cm="1">
        <f t="array" ref="K20">'P03'!E20</f>
        <v>0</v>
      </c>
      <c r="L20" s="7"/>
      <c r="M20" s="7"/>
      <c r="N20" s="7"/>
      <c r="O20" s="7"/>
      <c r="P20" s="7"/>
      <c r="Q20" s="7"/>
      <c r="R20" s="7"/>
      <c r="S20" s="7"/>
      <c r="T20" s="7"/>
      <c r="U20" s="7"/>
    </row>
    <row r="21" ht="45" customHeight="1">
      <c r="A21" s="135">
        <v>20</v>
      </c>
      <c r="B21" t="s" s="129">
        <v>102</v>
      </c>
      <c r="C21" t="s" s="144">
        <v>103</v>
      </c>
      <c r="D21" s="145" cm="1">
        <f t="array" ref="D21">IF(OR(E20="NA",E20="NC"),"NA",T26)</f>
        <v>0</v>
      </c>
      <c r="E21" s="137"/>
      <c r="F21" s="137"/>
      <c r="G21" s="138"/>
      <c r="H21" t="str" s="160" cm="1">
        <f t="array" ref="H21">IF(AND(E21="NC",G21=""),"Il manque un message d'erreur",IF(AND(E21&lt;&gt;"NC",G21&lt;&gt;""),"Il faut seulement écrire un message d'erreur pour NC",""))</f>
      </c>
      <c r="I21" s="139" cm="1">
        <f t="array" ref="I21">'P01'!E21</f>
        <v>0</v>
      </c>
      <c r="J21" s="139" cm="1">
        <f t="array" ref="J21">E21</f>
        <v>0</v>
      </c>
      <c r="K21" s="139" cm="1">
        <f t="array" ref="K21">'P03'!E21</f>
        <v>0</v>
      </c>
      <c r="L21" s="7"/>
      <c r="M21" s="7"/>
      <c r="N21" s="7"/>
      <c r="O21" s="7"/>
      <c r="P21" s="7"/>
      <c r="Q21" s="7"/>
      <c r="R21" s="7"/>
      <c r="S21" s="7"/>
      <c r="T21" s="7"/>
      <c r="U21" s="7"/>
    </row>
    <row r="22" ht="16.6" customHeight="1">
      <c r="A22" s="135">
        <v>21</v>
      </c>
      <c r="B22" t="s" s="129">
        <v>104</v>
      </c>
      <c r="C22" t="s" s="144">
        <v>105</v>
      </c>
      <c r="D22" s="138"/>
      <c r="E22" s="137"/>
      <c r="F22" s="137"/>
      <c r="G22" s="138"/>
      <c r="H22" t="str" s="160" cm="1">
        <f t="array" ref="H22">IF(AND(E22="NC",G22=""),"Il manque un message d'erreur",IF(AND(E22&lt;&gt;"NC",G22&lt;&gt;""),"Il faut seulement écrire un message d'erreur pour NC",""))</f>
      </c>
      <c r="I22" s="139" cm="1">
        <f t="array" ref="I22">'P01'!E22</f>
        <v>0</v>
      </c>
      <c r="J22" s="139" cm="1">
        <f t="array" ref="J22">E22</f>
        <v>0</v>
      </c>
      <c r="K22" s="139" cm="1">
        <f t="array" ref="K22">'P03'!E22</f>
        <v>0</v>
      </c>
      <c r="L22" s="7"/>
      <c r="M22" s="7"/>
      <c r="N22" s="7"/>
      <c r="O22" s="7"/>
      <c r="P22" s="7"/>
      <c r="Q22" s="7"/>
      <c r="R22" s="7"/>
      <c r="S22" s="7"/>
      <c r="T22" s="7"/>
      <c r="U22" s="7"/>
    </row>
    <row r="23" ht="16.6" customHeight="1">
      <c r="A23" s="135">
        <v>22</v>
      </c>
      <c r="B23" t="s" s="129">
        <v>106</v>
      </c>
      <c r="C23" t="s" s="144">
        <v>107</v>
      </c>
      <c r="D23" s="138"/>
      <c r="E23" s="137"/>
      <c r="F23" s="137"/>
      <c r="G23" s="138"/>
      <c r="H23" t="str" s="160" cm="1">
        <f t="array" ref="H23">IF(AND(E23="NC",G23=""),"Il manque un message d'erreur",IF(AND(E23&lt;&gt;"NC",G23&lt;&gt;""),"Il faut seulement écrire un message d'erreur pour NC",""))</f>
      </c>
      <c r="I23" s="139" cm="1">
        <f t="array" ref="I23">'P01'!E23</f>
        <v>0</v>
      </c>
      <c r="J23" s="139" cm="1">
        <f t="array" ref="J23">E23</f>
        <v>0</v>
      </c>
      <c r="K23" s="139" cm="1">
        <f t="array" ref="K23">'P03'!E23</f>
        <v>0</v>
      </c>
      <c r="L23" s="7"/>
      <c r="M23" s="7"/>
      <c r="N23" s="7"/>
      <c r="O23" s="7"/>
      <c r="P23" s="7"/>
      <c r="Q23" s="7"/>
      <c r="R23" s="7"/>
      <c r="S23" s="7"/>
      <c r="T23" s="7"/>
      <c r="U23" s="7"/>
    </row>
    <row r="24" ht="30" customHeight="1">
      <c r="A24" s="135">
        <v>23</v>
      </c>
      <c r="B24" t="s" s="129">
        <v>108</v>
      </c>
      <c r="C24" t="s" s="144">
        <v>109</v>
      </c>
      <c r="D24" s="138"/>
      <c r="E24" s="137"/>
      <c r="F24" s="137"/>
      <c r="G24" s="138"/>
      <c r="H24" t="str" s="160" cm="1">
        <f t="array" ref="H24">IF(AND(E24="NC",G24=""),"Il manque un message d'erreur",IF(AND(E24&lt;&gt;"NC",G24&lt;&gt;""),"Il faut seulement écrire un message d'erreur pour NC",""))</f>
      </c>
      <c r="I24" s="139" cm="1">
        <f t="array" ref="I24">'P01'!E24</f>
        <v>0</v>
      </c>
      <c r="J24" s="139" cm="1">
        <f t="array" ref="J24">E24</f>
        <v>0</v>
      </c>
      <c r="K24" s="139" cm="1">
        <f t="array" ref="K24">'P03'!E24</f>
        <v>0</v>
      </c>
      <c r="L24" s="7"/>
      <c r="M24" s="7"/>
      <c r="N24" s="7"/>
      <c r="O24" s="7"/>
      <c r="P24" s="7"/>
      <c r="Q24" s="7"/>
      <c r="R24" s="7"/>
      <c r="S24" s="7"/>
      <c r="T24" s="7"/>
      <c r="U24" s="7"/>
    </row>
    <row r="25" ht="30" customHeight="1">
      <c r="A25" s="135">
        <v>24</v>
      </c>
      <c r="B25" t="s" s="129">
        <v>110</v>
      </c>
      <c r="C25" t="s" s="144">
        <v>111</v>
      </c>
      <c r="D25" s="138"/>
      <c r="E25" s="137"/>
      <c r="F25" s="137"/>
      <c r="G25" s="138"/>
      <c r="H25" t="str" s="160" cm="1">
        <f t="array" ref="H25">IF(AND(E25="NC",G25=""),"Il manque un message d'erreur",IF(AND(E25&lt;&gt;"NC",G25&lt;&gt;""),"Il faut seulement écrire un message d'erreur pour NC",""))</f>
      </c>
      <c r="I25" s="139" cm="1">
        <f t="array" ref="I25">'P01'!E25</f>
        <v>0</v>
      </c>
      <c r="J25" s="139" cm="1">
        <f t="array" ref="J25">E25</f>
        <v>0</v>
      </c>
      <c r="K25" s="139" cm="1">
        <f t="array" ref="K25">'P03'!E25</f>
        <v>0</v>
      </c>
      <c r="L25" s="7"/>
      <c r="M25" s="7"/>
      <c r="N25" s="7"/>
      <c r="O25" s="7"/>
      <c r="P25" s="7"/>
      <c r="Q25" s="7"/>
      <c r="R25" s="7"/>
      <c r="S25" s="7"/>
      <c r="T25" s="7"/>
      <c r="U25" s="7"/>
    </row>
    <row r="26" ht="16.6" customHeight="1">
      <c r="A26" s="135">
        <v>25</v>
      </c>
      <c r="B26" t="s" s="129">
        <v>112</v>
      </c>
      <c r="C26" t="s" s="144">
        <v>113</v>
      </c>
      <c r="D26" s="138"/>
      <c r="E26" s="137"/>
      <c r="F26" s="137"/>
      <c r="G26" s="138"/>
      <c r="H26" t="str" s="160" cm="1">
        <f t="array" ref="H26">IF(AND(E26="NC",G26=""),"Il manque un message d'erreur",IF(AND(E26&lt;&gt;"NC",G26&lt;&gt;""),"Il faut seulement écrire un message d'erreur pour NC",""))</f>
      </c>
      <c r="I26" s="139" cm="1">
        <f t="array" ref="I26">'P01'!E26</f>
        <v>0</v>
      </c>
      <c r="J26" s="139" cm="1">
        <f t="array" ref="J26">E26</f>
        <v>0</v>
      </c>
      <c r="K26" s="139" cm="1">
        <f t="array" ref="K26">'P03'!E26</f>
        <v>0</v>
      </c>
      <c r="L26" s="7"/>
      <c r="M26" s="7"/>
      <c r="N26" s="7"/>
      <c r="O26" s="7"/>
      <c r="P26" s="7"/>
      <c r="Q26" s="7"/>
      <c r="R26" s="7"/>
      <c r="S26" s="7"/>
      <c r="T26" s="7"/>
      <c r="U26" s="7"/>
    </row>
    <row r="27" ht="30" customHeight="1">
      <c r="A27" s="135">
        <v>26</v>
      </c>
      <c r="B27" t="s" s="129">
        <v>114</v>
      </c>
      <c r="C27" t="s" s="144">
        <v>115</v>
      </c>
      <c r="D27" s="138"/>
      <c r="E27" s="137"/>
      <c r="F27" s="137"/>
      <c r="G27" s="138"/>
      <c r="H27" t="str" s="160" cm="1">
        <f t="array" ref="H27">IF(AND(E27="NC",G27=""),"Il manque un message d'erreur",IF(AND(E27&lt;&gt;"NC",G27&lt;&gt;""),"Il faut seulement écrire un message d'erreur pour NC",""))</f>
      </c>
      <c r="I27" s="139" cm="1">
        <f t="array" ref="I27">'P01'!E27</f>
        <v>0</v>
      </c>
      <c r="J27" s="139" cm="1">
        <f t="array" ref="J27">E27</f>
        <v>0</v>
      </c>
      <c r="K27" s="139" cm="1">
        <f t="array" ref="K27">'P03'!E27</f>
        <v>0</v>
      </c>
      <c r="L27" s="7"/>
      <c r="M27" s="7"/>
      <c r="N27" s="7"/>
      <c r="O27" s="7"/>
      <c r="P27" s="7"/>
      <c r="Q27" s="7"/>
      <c r="R27" s="7"/>
      <c r="S27" s="7"/>
      <c r="T27" s="7"/>
      <c r="U27" s="7"/>
    </row>
    <row r="28" ht="16.6" customHeight="1">
      <c r="A28" s="135">
        <v>27</v>
      </c>
      <c r="B28" t="s" s="129">
        <v>116</v>
      </c>
      <c r="C28" t="s" s="144">
        <v>117</v>
      </c>
      <c r="D28" s="145" cm="1">
        <f t="array" ref="D28">IF(E27="NA","NA",U35)</f>
        <v>0</v>
      </c>
      <c r="E28" s="137"/>
      <c r="F28" s="137"/>
      <c r="G28" s="138"/>
      <c r="H28" t="str" s="160" cm="1">
        <f t="array" ref="H28">IF(AND(E28="NC",G28=""),"Il manque un message d'erreur",IF(AND(E28&lt;&gt;"NC",G28&lt;&gt;""),"Il faut seulement écrire un message d'erreur pour NC",""))</f>
      </c>
      <c r="I28" s="139" cm="1">
        <f t="array" ref="I28">'P01'!E28</f>
        <v>0</v>
      </c>
      <c r="J28" s="139" cm="1">
        <f t="array" ref="J28">E28</f>
        <v>0</v>
      </c>
      <c r="K28" s="139" cm="1">
        <f t="array" ref="K28">'P03'!E28</f>
        <v>0</v>
      </c>
      <c r="L28" s="7"/>
      <c r="M28" s="7"/>
      <c r="N28" s="7"/>
      <c r="O28" s="7"/>
      <c r="P28" s="7"/>
      <c r="Q28" s="7"/>
      <c r="R28" s="7"/>
      <c r="S28" s="7"/>
      <c r="T28" s="7"/>
      <c r="U28" s="7"/>
    </row>
    <row r="29" ht="16.6" customHeight="1">
      <c r="A29" s="135">
        <v>28</v>
      </c>
      <c r="B29" t="s" s="129">
        <v>118</v>
      </c>
      <c r="C29" t="s" s="144">
        <v>119</v>
      </c>
      <c r="D29" s="138"/>
      <c r="E29" s="137"/>
      <c r="F29" s="137"/>
      <c r="G29" s="138"/>
      <c r="H29" t="str" s="160" cm="1">
        <f t="array" ref="H29">IF(AND(E29="NC",G29=""),"Il manque un message d'erreur",IF(AND(E29&lt;&gt;"NC",G29&lt;&gt;""),"Il faut seulement écrire un message d'erreur pour NC",""))</f>
      </c>
      <c r="I29" s="139" cm="1">
        <f t="array" ref="I29">'P01'!E29</f>
        <v>0</v>
      </c>
      <c r="J29" s="139" cm="1">
        <f t="array" ref="J29">E29</f>
        <v>0</v>
      </c>
      <c r="K29" s="139" cm="1">
        <f t="array" ref="K29">'P03'!E29</f>
        <v>0</v>
      </c>
      <c r="L29" s="7"/>
      <c r="M29" s="7"/>
      <c r="N29" s="7"/>
      <c r="O29" s="7"/>
      <c r="P29" s="7"/>
      <c r="Q29" s="7"/>
      <c r="R29" s="7"/>
      <c r="S29" s="7"/>
      <c r="T29" s="7"/>
      <c r="U29" s="7"/>
    </row>
    <row r="30" ht="30" customHeight="1">
      <c r="A30" s="135">
        <v>29</v>
      </c>
      <c r="B30" t="s" s="129">
        <v>120</v>
      </c>
      <c r="C30" t="s" s="144">
        <v>121</v>
      </c>
      <c r="D30" s="138"/>
      <c r="E30" s="137"/>
      <c r="F30" s="137"/>
      <c r="G30" s="138"/>
      <c r="H30" t="str" s="160" cm="1">
        <f t="array" ref="H30">IF(AND(E30="NC",G30=""),"Il manque un message d'erreur",IF(AND(E30&lt;&gt;"NC",G30&lt;&gt;""),"Il faut seulement écrire un message d'erreur pour NC",""))</f>
      </c>
      <c r="I30" s="139" cm="1">
        <f t="array" ref="I30">'P01'!E30</f>
        <v>0</v>
      </c>
      <c r="J30" s="139" cm="1">
        <f t="array" ref="J30">E30</f>
        <v>0</v>
      </c>
      <c r="K30" s="139" cm="1">
        <f t="array" ref="K30">'P03'!E30</f>
        <v>0</v>
      </c>
      <c r="L30" s="7"/>
      <c r="M30" s="7"/>
      <c r="N30" s="7"/>
      <c r="O30" s="7"/>
      <c r="P30" s="7"/>
      <c r="Q30" s="7"/>
      <c r="R30" s="7"/>
      <c r="S30" s="7"/>
      <c r="T30" s="7"/>
      <c r="U30" s="7"/>
    </row>
    <row r="31" ht="30" customHeight="1">
      <c r="A31" s="135">
        <v>30</v>
      </c>
      <c r="B31" t="s" s="129">
        <v>122</v>
      </c>
      <c r="C31" t="s" s="144">
        <v>123</v>
      </c>
      <c r="D31" s="138"/>
      <c r="E31" s="137"/>
      <c r="F31" s="137"/>
      <c r="G31" s="138"/>
      <c r="H31" t="str" s="160" cm="1">
        <f t="array" ref="H31">IF(AND(E31="NC",G31=""),"Il manque un message d'erreur",IF(AND(E31&lt;&gt;"NC",G31&lt;&gt;""),"Il faut seulement écrire un message d'erreur pour NC",""))</f>
      </c>
      <c r="I31" s="139" cm="1">
        <f t="array" ref="I31">'P01'!E31</f>
        <v>0</v>
      </c>
      <c r="J31" s="139" cm="1">
        <f t="array" ref="J31">E31</f>
        <v>0</v>
      </c>
      <c r="K31" s="139" cm="1">
        <f t="array" ref="K31">'P03'!E31</f>
        <v>0</v>
      </c>
      <c r="L31" s="7"/>
      <c r="M31" s="7"/>
      <c r="N31" s="7"/>
      <c r="O31" s="7"/>
      <c r="P31" s="7"/>
      <c r="Q31" s="7"/>
      <c r="R31" s="7"/>
      <c r="S31" s="7"/>
      <c r="T31" s="7"/>
      <c r="U31" s="7"/>
    </row>
    <row r="32" ht="30" customHeight="1">
      <c r="A32" s="135">
        <v>31</v>
      </c>
      <c r="B32" t="s" s="129">
        <v>124</v>
      </c>
      <c r="C32" t="s" s="144">
        <v>125</v>
      </c>
      <c r="D32" s="145" cm="1">
        <f t="array" ref="D32">IF(OR(E31="NA",E31="NC"),"NA",T40)</f>
        <v>0</v>
      </c>
      <c r="E32" s="137"/>
      <c r="F32" s="137"/>
      <c r="G32" s="138"/>
      <c r="H32" t="str" s="160" cm="1">
        <f t="array" ref="H32">IF(AND(E32="NC",G32=""),"Il manque un message d'erreur",IF(AND(E32&lt;&gt;"NC",G32&lt;&gt;""),"Il faut seulement écrire un message d'erreur pour NC",""))</f>
      </c>
      <c r="I32" s="139" cm="1">
        <f t="array" ref="I32">'P01'!E32</f>
        <v>0</v>
      </c>
      <c r="J32" s="139" cm="1">
        <f t="array" ref="J32">E32</f>
        <v>0</v>
      </c>
      <c r="K32" s="139" cm="1">
        <f t="array" ref="K32">'P03'!E32</f>
        <v>0</v>
      </c>
      <c r="L32" s="7"/>
      <c r="M32" s="7"/>
      <c r="N32" s="7"/>
      <c r="O32" s="7"/>
      <c r="P32" s="7"/>
      <c r="Q32" s="7"/>
      <c r="R32" s="7"/>
      <c r="S32" s="7"/>
      <c r="T32" s="7"/>
      <c r="U32" s="7"/>
    </row>
    <row r="33" ht="30" customHeight="1">
      <c r="A33" s="135">
        <v>32</v>
      </c>
      <c r="B33" t="s" s="129">
        <v>126</v>
      </c>
      <c r="C33" t="s" s="144">
        <v>127</v>
      </c>
      <c r="D33" s="138"/>
      <c r="E33" s="137"/>
      <c r="F33" s="137"/>
      <c r="G33" s="138"/>
      <c r="H33" t="str" s="160" cm="1">
        <f t="array" ref="H33">IF(AND(E33="NC",G33=""),"Il manque un message d'erreur",IF(AND(E33&lt;&gt;"NC",G33&lt;&gt;""),"Il faut seulement écrire un message d'erreur pour NC",""))</f>
      </c>
      <c r="I33" s="139" cm="1">
        <f t="array" ref="I33">'P01'!E33</f>
        <v>0</v>
      </c>
      <c r="J33" s="139" cm="1">
        <f t="array" ref="J33">E33</f>
        <v>0</v>
      </c>
      <c r="K33" s="139" cm="1">
        <f t="array" ref="K33">'P03'!E33</f>
        <v>0</v>
      </c>
      <c r="L33" s="7"/>
      <c r="M33" s="7"/>
      <c r="N33" s="7"/>
      <c r="O33" s="7"/>
      <c r="P33" s="7"/>
      <c r="Q33" s="7"/>
      <c r="R33" s="7"/>
      <c r="S33" s="7"/>
      <c r="T33" s="7"/>
      <c r="U33" s="7"/>
    </row>
    <row r="34" ht="30" customHeight="1">
      <c r="A34" s="135">
        <v>33</v>
      </c>
      <c r="B34" t="s" s="129">
        <v>128</v>
      </c>
      <c r="C34" t="s" s="144">
        <v>129</v>
      </c>
      <c r="D34" s="138"/>
      <c r="E34" s="137"/>
      <c r="F34" s="137"/>
      <c r="G34" s="138"/>
      <c r="H34" t="str" s="160" cm="1">
        <f t="array" ref="H34">IF(AND(E34="NC",G34=""),"Il manque un message d'erreur",IF(AND(E34&lt;&gt;"NC",G34&lt;&gt;""),"Il faut seulement écrire un message d'erreur pour NC",""))</f>
      </c>
      <c r="I34" s="139" cm="1">
        <f t="array" ref="I34">'P01'!E34</f>
        <v>0</v>
      </c>
      <c r="J34" s="139" cm="1">
        <f t="array" ref="J34">E34</f>
        <v>0</v>
      </c>
      <c r="K34" s="139" cm="1">
        <f t="array" ref="K34">'P03'!E34</f>
        <v>0</v>
      </c>
      <c r="L34" s="7"/>
      <c r="M34" s="7"/>
      <c r="N34" s="7"/>
      <c r="O34" s="7"/>
      <c r="P34" s="7"/>
      <c r="Q34" s="7"/>
      <c r="R34" s="7"/>
      <c r="S34" s="7"/>
      <c r="T34" s="7"/>
      <c r="U34" s="7"/>
    </row>
    <row r="35" ht="30" customHeight="1">
      <c r="A35" s="135">
        <v>34</v>
      </c>
      <c r="B35" t="s" s="129">
        <v>130</v>
      </c>
      <c r="C35" t="s" s="144">
        <v>131</v>
      </c>
      <c r="D35" s="138"/>
      <c r="E35" s="137"/>
      <c r="F35" s="137"/>
      <c r="G35" s="138"/>
      <c r="H35" t="str" s="160" cm="1">
        <f t="array" ref="H35">IF(AND(E35="NC",G35=""),"Il manque un message d'erreur",IF(AND(E35&lt;&gt;"NC",G35&lt;&gt;""),"Il faut seulement écrire un message d'erreur pour NC",""))</f>
      </c>
      <c r="I35" s="139" cm="1">
        <f t="array" ref="I35">'P01'!E35</f>
        <v>0</v>
      </c>
      <c r="J35" s="139" cm="1">
        <f t="array" ref="J35">E35</f>
        <v>0</v>
      </c>
      <c r="K35" s="139" cm="1">
        <f t="array" ref="K35">'P03'!E35</f>
        <v>0</v>
      </c>
      <c r="L35" s="7"/>
      <c r="M35" s="7"/>
      <c r="N35" s="7"/>
      <c r="O35" s="7"/>
      <c r="P35" s="7"/>
      <c r="Q35" s="7"/>
      <c r="R35" s="7"/>
      <c r="S35" s="7"/>
      <c r="T35" s="7"/>
      <c r="U35" s="7"/>
    </row>
    <row r="36" ht="30" customHeight="1">
      <c r="A36" s="135">
        <v>35</v>
      </c>
      <c r="B36" t="s" s="129">
        <v>132</v>
      </c>
      <c r="C36" t="s" s="144">
        <v>133</v>
      </c>
      <c r="D36" s="138"/>
      <c r="E36" s="137"/>
      <c r="F36" s="137"/>
      <c r="G36" s="138"/>
      <c r="H36" t="str" s="160" cm="1">
        <f t="array" ref="H36">IF(AND(E36="NC",G36=""),"Il manque un message d'erreur",IF(AND(E36&lt;&gt;"NC",G36&lt;&gt;""),"Il faut seulement écrire un message d'erreur pour NC",""))</f>
      </c>
      <c r="I36" s="139" cm="1">
        <f t="array" ref="I36">'P01'!E36</f>
        <v>0</v>
      </c>
      <c r="J36" s="139" cm="1">
        <f t="array" ref="J36">E36</f>
        <v>0</v>
      </c>
      <c r="K36" s="139" cm="1">
        <f t="array" ref="K36">'P03'!E36</f>
        <v>0</v>
      </c>
      <c r="L36" s="7"/>
      <c r="M36" s="7"/>
      <c r="N36" s="7"/>
      <c r="O36" s="7"/>
      <c r="P36" s="7"/>
      <c r="Q36" s="7"/>
      <c r="R36" s="7"/>
      <c r="S36" s="7"/>
      <c r="T36" s="7"/>
      <c r="U36" s="7"/>
    </row>
    <row r="37" ht="45" customHeight="1">
      <c r="A37" s="135">
        <v>36</v>
      </c>
      <c r="B37" t="s" s="129">
        <v>134</v>
      </c>
      <c r="C37" t="s" s="144">
        <v>135</v>
      </c>
      <c r="D37" s="138"/>
      <c r="E37" s="137"/>
      <c r="F37" s="137"/>
      <c r="G37" s="151"/>
      <c r="H37" t="str" s="160" cm="1">
        <f t="array" ref="H37">IF(AND(E37="NC",G37=""),"Il manque un message d'erreur",IF(AND(E37&lt;&gt;"NC",G37&lt;&gt;""),"Il faut seulement écrire un message d'erreur pour NC",""))</f>
      </c>
      <c r="I37" s="139" cm="1">
        <f t="array" ref="I37">'P01'!E37</f>
        <v>0</v>
      </c>
      <c r="J37" s="139" cm="1">
        <f t="array" ref="J37">E37</f>
        <v>0</v>
      </c>
      <c r="K37" s="139" cm="1">
        <f t="array" ref="K37">'P03'!E37</f>
        <v>0</v>
      </c>
      <c r="L37" s="7"/>
      <c r="M37" s="7"/>
      <c r="N37" s="7"/>
      <c r="O37" s="7"/>
      <c r="P37" s="7"/>
      <c r="Q37" s="7"/>
      <c r="R37" s="7"/>
      <c r="S37" s="7"/>
      <c r="T37" s="7"/>
      <c r="U37" s="7"/>
    </row>
    <row r="38" ht="45" customHeight="1">
      <c r="A38" s="135">
        <v>37</v>
      </c>
      <c r="B38" t="s" s="129">
        <v>136</v>
      </c>
      <c r="C38" t="s" s="144">
        <v>137</v>
      </c>
      <c r="D38" s="138"/>
      <c r="E38" s="137"/>
      <c r="F38" s="137"/>
      <c r="G38" s="138"/>
      <c r="H38" t="str" s="160" cm="1">
        <f t="array" ref="H38">IF(AND(E38="NC",G38=""),"Il manque un message d'erreur",IF(AND(E38&lt;&gt;"NC",G38&lt;&gt;""),"Il faut seulement écrire un message d'erreur pour NC",""))</f>
      </c>
      <c r="I38" s="139" cm="1">
        <f t="array" ref="I38">'P01'!E38</f>
        <v>0</v>
      </c>
      <c r="J38" s="139" cm="1">
        <f t="array" ref="J38">E38</f>
        <v>0</v>
      </c>
      <c r="K38" s="139" cm="1">
        <f t="array" ref="K38">'P03'!E38</f>
        <v>0</v>
      </c>
      <c r="L38" s="7"/>
      <c r="M38" s="7"/>
      <c r="N38" s="7"/>
      <c r="O38" s="7"/>
      <c r="P38" s="7"/>
      <c r="Q38" s="7"/>
      <c r="R38" s="7"/>
      <c r="S38" s="7"/>
      <c r="T38" s="7"/>
      <c r="U38" s="7"/>
    </row>
    <row r="39" ht="16.6" customHeight="1">
      <c r="A39" s="135">
        <v>38</v>
      </c>
      <c r="B39" t="s" s="129">
        <v>138</v>
      </c>
      <c r="C39" t="s" s="144">
        <v>139</v>
      </c>
      <c r="D39" s="138"/>
      <c r="E39" s="137"/>
      <c r="F39" s="137"/>
      <c r="G39" s="138"/>
      <c r="H39" t="str" s="160" cm="1">
        <f t="array" ref="H39">IF(AND(E39="NC",G39=""),"Il manque un message d'erreur",IF(AND(E39&lt;&gt;"NC",G39&lt;&gt;""),"Il faut seulement écrire un message d'erreur pour NC",""))</f>
      </c>
      <c r="I39" s="139" cm="1">
        <f t="array" ref="I39">'P01'!E39</f>
        <v>0</v>
      </c>
      <c r="J39" s="139" cm="1">
        <f t="array" ref="J39">E39</f>
        <v>0</v>
      </c>
      <c r="K39" s="139" cm="1">
        <f t="array" ref="K39">'P03'!E39</f>
        <v>0</v>
      </c>
      <c r="L39" s="7"/>
      <c r="M39" s="7"/>
      <c r="N39" s="7"/>
      <c r="O39" s="7"/>
      <c r="P39" s="7"/>
      <c r="Q39" s="7"/>
      <c r="R39" s="7"/>
      <c r="S39" s="7"/>
      <c r="T39" s="7"/>
      <c r="U39" s="7"/>
    </row>
    <row r="40" ht="30" customHeight="1">
      <c r="A40" s="135">
        <v>39</v>
      </c>
      <c r="B40" t="s" s="129">
        <v>140</v>
      </c>
      <c r="C40" t="s" s="144">
        <v>141</v>
      </c>
      <c r="D40" s="138"/>
      <c r="E40" s="137"/>
      <c r="F40" s="137"/>
      <c r="G40" s="138"/>
      <c r="H40" t="str" s="160" cm="1">
        <f t="array" ref="H40">IF(AND(E40="NC",G40=""),"Il manque un message d'erreur",IF(AND(E40&lt;&gt;"NC",G40&lt;&gt;""),"Il faut seulement écrire un message d'erreur pour NC",""))</f>
      </c>
      <c r="I40" s="139" cm="1">
        <f t="array" ref="I40">'P01'!E40</f>
        <v>0</v>
      </c>
      <c r="J40" s="139" cm="1">
        <f t="array" ref="J40">E40</f>
        <v>0</v>
      </c>
      <c r="K40" s="139" cm="1">
        <f t="array" ref="K40">'P03'!E40</f>
        <v>0</v>
      </c>
      <c r="L40" s="7"/>
      <c r="M40" s="7"/>
      <c r="N40" s="7"/>
      <c r="O40" s="7"/>
      <c r="P40" s="7"/>
      <c r="Q40" s="7"/>
      <c r="R40" s="7"/>
      <c r="S40" s="7"/>
      <c r="T40" s="7"/>
      <c r="U40" s="7"/>
    </row>
    <row r="41" ht="30" customHeight="1">
      <c r="A41" s="135">
        <v>40</v>
      </c>
      <c r="B41" t="s" s="129">
        <v>142</v>
      </c>
      <c r="C41" t="s" s="144">
        <v>143</v>
      </c>
      <c r="D41" s="138"/>
      <c r="E41" s="137"/>
      <c r="F41" s="137"/>
      <c r="G41" s="138"/>
      <c r="H41" t="str" s="160" cm="1">
        <f t="array" ref="H41">IF(AND(E41="NC",G41=""),"Il manque un message d'erreur",IF(AND(E41&lt;&gt;"NC",G41&lt;&gt;""),"Il faut seulement écrire un message d'erreur pour NC",""))</f>
      </c>
      <c r="I41" s="139" cm="1">
        <f t="array" ref="I41">'P01'!E41</f>
        <v>0</v>
      </c>
      <c r="J41" s="139" cm="1">
        <f t="array" ref="J41">E41</f>
        <v>0</v>
      </c>
      <c r="K41" s="139" cm="1">
        <f t="array" ref="K41">'P03'!E41</f>
        <v>0</v>
      </c>
      <c r="L41" s="7"/>
      <c r="M41" s="7"/>
      <c r="N41" s="7"/>
      <c r="O41" s="7"/>
      <c r="P41" s="7"/>
      <c r="Q41" s="7"/>
      <c r="R41" s="7"/>
      <c r="S41" s="7"/>
      <c r="T41" s="7"/>
      <c r="U41" s="7"/>
    </row>
    <row r="42" ht="30" customHeight="1">
      <c r="A42" s="135">
        <v>41</v>
      </c>
      <c r="B42" t="s" s="129">
        <v>144</v>
      </c>
      <c r="C42" t="s" s="144">
        <v>145</v>
      </c>
      <c r="D42" s="138"/>
      <c r="E42" s="137"/>
      <c r="F42" s="137"/>
      <c r="G42" s="138"/>
      <c r="H42" t="str" s="160" cm="1">
        <f t="array" ref="H42">IF(AND(E42="NC",G42=""),"Il manque un message d'erreur",IF(AND(E42&lt;&gt;"NC",G42&lt;&gt;""),"Il faut seulement écrire un message d'erreur pour NC",""))</f>
      </c>
      <c r="I42" s="139" cm="1">
        <f t="array" ref="I42">'P01'!E42</f>
        <v>0</v>
      </c>
      <c r="J42" s="139" cm="1">
        <f t="array" ref="J42">E42</f>
        <v>0</v>
      </c>
      <c r="K42" s="139" cm="1">
        <f t="array" ref="K42">'P03'!E42</f>
        <v>0</v>
      </c>
      <c r="L42" s="7"/>
      <c r="M42" s="7"/>
      <c r="N42" s="7"/>
      <c r="O42" s="7"/>
      <c r="P42" s="7"/>
      <c r="Q42" s="7"/>
      <c r="R42" s="7"/>
      <c r="S42" s="7"/>
      <c r="T42" s="7"/>
      <c r="U42" s="7"/>
    </row>
    <row r="43" ht="30" customHeight="1">
      <c r="A43" s="135">
        <v>42</v>
      </c>
      <c r="B43" t="s" s="129">
        <v>146</v>
      </c>
      <c r="C43" t="s" s="144">
        <v>147</v>
      </c>
      <c r="D43" s="145" cm="1">
        <f t="array" ref="D43">IF(OR(E42="NA",E42="NC"),"NA",T50)</f>
        <v>0</v>
      </c>
      <c r="E43" s="137"/>
      <c r="F43" s="137"/>
      <c r="G43" s="138"/>
      <c r="H43" t="str" s="160" cm="1">
        <f t="array" ref="H43">IF(AND(E43="NC",G43=""),"Il manque un message d'erreur",IF(AND(E43&lt;&gt;"NC",G43&lt;&gt;""),"Il faut seulement écrire un message d'erreur pour NC",""))</f>
      </c>
      <c r="I43" s="139" cm="1">
        <f t="array" ref="I43">'P01'!E43</f>
        <v>0</v>
      </c>
      <c r="J43" s="139" cm="1">
        <f t="array" ref="J43">E43</f>
        <v>0</v>
      </c>
      <c r="K43" s="139" cm="1">
        <f t="array" ref="K43">'P03'!E43</f>
        <v>0</v>
      </c>
      <c r="L43" s="7"/>
      <c r="M43" s="7"/>
      <c r="N43" s="7"/>
      <c r="O43" s="7"/>
      <c r="P43" s="7"/>
      <c r="Q43" s="7"/>
      <c r="R43" s="7"/>
      <c r="S43" s="7"/>
      <c r="T43" s="7"/>
      <c r="U43" s="7"/>
    </row>
    <row r="44" ht="30" customHeight="1">
      <c r="A44" s="135">
        <v>43</v>
      </c>
      <c r="B44" t="s" s="129">
        <v>148</v>
      </c>
      <c r="C44" t="s" s="144">
        <v>149</v>
      </c>
      <c r="D44" s="145" cm="1">
        <f t="array" ref="D44">IF(OR(E42="NA",E42="NC"),"NA",T51)</f>
        <v>0</v>
      </c>
      <c r="E44" s="137"/>
      <c r="F44" s="137"/>
      <c r="G44" s="138"/>
      <c r="H44" t="str" s="160" cm="1">
        <f t="array" ref="H44">IF(AND(E44="NC",G44=""),"Il manque un message d'erreur",IF(AND(E44&lt;&gt;"NC",G44&lt;&gt;""),"Il faut seulement écrire un message d'erreur pour NC",""))</f>
      </c>
      <c r="I44" s="139" cm="1">
        <f t="array" ref="I44">'P01'!E44</f>
        <v>0</v>
      </c>
      <c r="J44" s="139" cm="1">
        <f t="array" ref="J44">E44</f>
        <v>0</v>
      </c>
      <c r="K44" s="139" cm="1">
        <f t="array" ref="K44">'P03'!E44</f>
        <v>0</v>
      </c>
      <c r="L44" s="7"/>
      <c r="M44" s="7"/>
      <c r="N44" s="7"/>
      <c r="O44" s="7"/>
      <c r="P44" s="7"/>
      <c r="Q44" s="7"/>
      <c r="R44" s="7"/>
      <c r="S44" s="7"/>
      <c r="T44" s="7"/>
      <c r="U44" s="7"/>
    </row>
    <row r="45" ht="30" customHeight="1">
      <c r="A45" s="135">
        <v>44</v>
      </c>
      <c r="B45" t="s" s="129">
        <v>150</v>
      </c>
      <c r="C45" t="s" s="152">
        <v>151</v>
      </c>
      <c r="D45" s="138"/>
      <c r="E45" s="137"/>
      <c r="F45" s="137"/>
      <c r="G45" s="138"/>
      <c r="H45" t="str" s="160" cm="1">
        <f t="array" ref="H45">IF(AND(E45="NC",G45=""),"Il manque un message d'erreur",IF(AND(E45&lt;&gt;"NC",G45&lt;&gt;""),"Il faut seulement écrire un message d'erreur pour NC",""))</f>
      </c>
      <c r="I45" s="139" cm="1">
        <f t="array" ref="I45">'P01'!E45</f>
        <v>0</v>
      </c>
      <c r="J45" s="139" cm="1">
        <f t="array" ref="J45">E45</f>
        <v>0</v>
      </c>
      <c r="K45" s="139" cm="1">
        <f t="array" ref="K45">'P03'!E45</f>
        <v>0</v>
      </c>
      <c r="L45" s="7"/>
      <c r="M45" s="7"/>
      <c r="N45" s="7"/>
      <c r="O45" s="7"/>
      <c r="P45" s="7"/>
      <c r="Q45" s="7"/>
      <c r="R45" s="7"/>
      <c r="S45" s="7"/>
      <c r="T45" s="7"/>
      <c r="U45" s="7"/>
    </row>
    <row r="46" ht="60" customHeight="1">
      <c r="A46" s="135">
        <v>45</v>
      </c>
      <c r="B46" t="s" s="129">
        <v>152</v>
      </c>
      <c r="C46" t="s" s="130">
        <v>153</v>
      </c>
      <c r="D46" s="136"/>
      <c r="E46" s="137"/>
      <c r="F46" s="137"/>
      <c r="G46" s="138"/>
      <c r="H46" t="str" s="160" cm="1">
        <f t="array" ref="H46">IF(AND(E46="NC",G46=""),"Il manque un message d'erreur",IF(AND(E46&lt;&gt;"NC",G46&lt;&gt;""),"Il faut seulement écrire un message d'erreur pour NC",""))</f>
      </c>
      <c r="I46" s="139" cm="1">
        <f t="array" ref="I46">'P01'!E46</f>
        <v>0</v>
      </c>
      <c r="J46" s="139" cm="1">
        <f t="array" ref="J46">E46</f>
        <v>0</v>
      </c>
      <c r="K46" s="139" cm="1">
        <f t="array" ref="K46">'P03'!E46</f>
        <v>0</v>
      </c>
      <c r="L46" s="7"/>
      <c r="M46" s="7"/>
      <c r="N46" s="7"/>
      <c r="O46" s="7"/>
      <c r="P46" s="7"/>
      <c r="Q46" s="7"/>
      <c r="R46" s="7"/>
      <c r="S46" s="7"/>
      <c r="T46" s="7"/>
      <c r="U46" s="7"/>
    </row>
    <row r="47" ht="30" customHeight="1">
      <c r="A47" s="135">
        <v>46</v>
      </c>
      <c r="B47" t="s" s="129">
        <v>154</v>
      </c>
      <c r="C47" t="s" s="130">
        <v>155</v>
      </c>
      <c r="D47" s="136"/>
      <c r="E47" s="137"/>
      <c r="F47" s="137"/>
      <c r="G47" s="138"/>
      <c r="H47" t="str" s="160" cm="1">
        <f t="array" ref="H47">IF(AND(E47="NC",G47=""),"Il manque un message d'erreur",IF(AND(E47&lt;&gt;"NC",G47&lt;&gt;""),"Il faut seulement écrire un message d'erreur pour NC",""))</f>
      </c>
      <c r="I47" s="139" cm="1">
        <f t="array" ref="I47">'P01'!E47</f>
        <v>0</v>
      </c>
      <c r="J47" s="139" cm="1">
        <f t="array" ref="J47">E47</f>
        <v>0</v>
      </c>
      <c r="K47" s="139" cm="1">
        <f t="array" ref="K47">'P03'!E47</f>
        <v>0</v>
      </c>
      <c r="L47" s="7"/>
      <c r="M47" s="7"/>
      <c r="N47" s="7"/>
      <c r="O47" s="7"/>
      <c r="P47" s="7"/>
      <c r="Q47" s="7"/>
      <c r="R47" s="7"/>
      <c r="S47" s="7"/>
      <c r="T47" s="7"/>
      <c r="U47" s="7"/>
    </row>
    <row r="48" ht="16.6" customHeight="1">
      <c r="A48" s="135">
        <v>47</v>
      </c>
      <c r="B48" t="s" s="129">
        <v>156</v>
      </c>
      <c r="C48" t="s" s="130">
        <v>157</v>
      </c>
      <c r="D48" s="136"/>
      <c r="E48" s="137"/>
      <c r="F48" s="137"/>
      <c r="G48" s="138"/>
      <c r="H48" t="str" s="160" cm="1">
        <f t="array" ref="H48">IF(AND(E48="NC",G48=""),"Il manque un message d'erreur",IF(AND(E48&lt;&gt;"NC",G48&lt;&gt;""),"Il faut seulement écrire un message d'erreur pour NC",""))</f>
      </c>
      <c r="I48" s="139" cm="1">
        <f t="array" ref="I48">'P01'!E48</f>
        <v>0</v>
      </c>
      <c r="J48" s="139" cm="1">
        <f t="array" ref="J48">E48</f>
        <v>0</v>
      </c>
      <c r="K48" s="139" cm="1">
        <f t="array" ref="K48">'P03'!E48</f>
        <v>0</v>
      </c>
      <c r="L48" s="7"/>
      <c r="M48" s="7"/>
      <c r="N48" s="7"/>
      <c r="O48" s="7"/>
      <c r="P48" s="7"/>
      <c r="Q48" s="7"/>
      <c r="R48" s="7"/>
      <c r="S48" s="7"/>
      <c r="T48" s="7"/>
      <c r="U48" s="7"/>
    </row>
    <row r="49" ht="30" customHeight="1">
      <c r="A49" s="135">
        <v>48</v>
      </c>
      <c r="B49" t="s" s="129">
        <v>158</v>
      </c>
      <c r="C49" t="s" s="130">
        <v>159</v>
      </c>
      <c r="D49" s="136"/>
      <c r="E49" s="137"/>
      <c r="F49" s="137"/>
      <c r="G49" s="138"/>
      <c r="H49" t="str" s="160" cm="1">
        <f t="array" ref="H49">IF(AND(E49="NC",G49=""),"Il manque un message d'erreur",IF(AND(E49&lt;&gt;"NC",G49&lt;&gt;""),"Il faut seulement écrire un message d'erreur pour NC",""))</f>
      </c>
      <c r="I49" s="139" cm="1">
        <f t="array" ref="I49">'P01'!E49</f>
        <v>0</v>
      </c>
      <c r="J49" s="139" cm="1">
        <f t="array" ref="J49">E49</f>
        <v>0</v>
      </c>
      <c r="K49" s="139" cm="1">
        <f t="array" ref="K49">'P03'!E49</f>
        <v>0</v>
      </c>
      <c r="L49" s="7"/>
      <c r="M49" s="7"/>
      <c r="N49" s="7"/>
      <c r="O49" s="7"/>
      <c r="P49" s="7"/>
      <c r="Q49" s="7"/>
      <c r="R49" s="7"/>
      <c r="S49" s="7"/>
      <c r="T49" s="7"/>
      <c r="U49" s="7"/>
    </row>
    <row r="50" ht="45" customHeight="1">
      <c r="A50" s="135">
        <v>49</v>
      </c>
      <c r="B50" t="s" s="129">
        <v>160</v>
      </c>
      <c r="C50" t="s" s="130">
        <v>161</v>
      </c>
      <c r="D50" s="136"/>
      <c r="E50" s="137"/>
      <c r="F50" s="137"/>
      <c r="G50" s="138"/>
      <c r="H50" t="str" s="160" cm="1">
        <f t="array" ref="H50">IF(AND(E50="NC",G50=""),"Il manque un message d'erreur",IF(AND(E50&lt;&gt;"NC",G50&lt;&gt;""),"Il faut seulement écrire un message d'erreur pour NC",""))</f>
      </c>
      <c r="I50" s="139" cm="1">
        <f t="array" ref="I50">'P01'!E50</f>
        <v>0</v>
      </c>
      <c r="J50" s="139" cm="1">
        <f t="array" ref="J50">E50</f>
        <v>0</v>
      </c>
      <c r="K50" s="139" cm="1">
        <f t="array" ref="K50">'P03'!E50</f>
        <v>0</v>
      </c>
      <c r="L50" s="7"/>
      <c r="M50" s="7"/>
      <c r="N50" s="7"/>
      <c r="O50" s="7"/>
      <c r="P50" s="7"/>
      <c r="Q50" s="7"/>
      <c r="R50" s="7"/>
      <c r="S50" s="7"/>
      <c r="T50" s="7"/>
      <c r="U50" s="7"/>
    </row>
    <row r="51" ht="30" customHeight="1">
      <c r="A51" s="135">
        <v>50</v>
      </c>
      <c r="B51" t="s" s="129">
        <v>162</v>
      </c>
      <c r="C51" t="s" s="154">
        <v>163</v>
      </c>
      <c r="D51" s="138"/>
      <c r="E51" s="137"/>
      <c r="F51" s="137"/>
      <c r="G51" s="138"/>
      <c r="H51" t="str" s="160" cm="1">
        <f t="array" ref="H51">IF(AND(E51="NC",G51=""),"Il manque un message d'erreur",IF(AND(E51&lt;&gt;"NC",G51&lt;&gt;""),"Il faut seulement écrire un message d'erreur pour NC",""))</f>
      </c>
      <c r="I51" s="139" cm="1">
        <f t="array" ref="I51">'P01'!E51</f>
        <v>0</v>
      </c>
      <c r="J51" s="139" cm="1">
        <f t="array" ref="J51">E51</f>
        <v>0</v>
      </c>
      <c r="K51" s="139" cm="1">
        <f t="array" ref="K51">'P03'!E51</f>
        <v>0</v>
      </c>
      <c r="L51" s="7"/>
      <c r="M51" s="7"/>
      <c r="N51" s="7"/>
      <c r="O51" s="7"/>
      <c r="P51" s="7"/>
      <c r="Q51" s="7"/>
      <c r="R51" s="7"/>
      <c r="S51" s="7"/>
      <c r="T51" s="7"/>
      <c r="U51" s="7"/>
    </row>
    <row r="52" ht="30" customHeight="1">
      <c r="A52" s="135">
        <v>51</v>
      </c>
      <c r="B52" t="s" s="129">
        <v>164</v>
      </c>
      <c r="C52" t="s" s="144">
        <v>165</v>
      </c>
      <c r="D52" s="138"/>
      <c r="E52" s="137"/>
      <c r="F52" s="137"/>
      <c r="G52" s="138"/>
      <c r="H52" t="str" s="160" cm="1">
        <f t="array" ref="H52">IF(AND(E52="NC",G52=""),"Il manque un message d'erreur",IF(AND(E52&lt;&gt;"NC",G52&lt;&gt;""),"Il faut seulement écrire un message d'erreur pour NC",""))</f>
      </c>
      <c r="I52" s="139" cm="1">
        <f t="array" ref="I52">'P01'!E52</f>
        <v>0</v>
      </c>
      <c r="J52" s="139" cm="1">
        <f t="array" ref="J52">E52</f>
        <v>0</v>
      </c>
      <c r="K52" s="139" cm="1">
        <f t="array" ref="K52">'P03'!E52</f>
        <v>0</v>
      </c>
      <c r="L52" s="7"/>
      <c r="M52" s="7"/>
      <c r="N52" s="7"/>
      <c r="O52" s="7"/>
      <c r="P52" s="7"/>
      <c r="Q52" s="7"/>
      <c r="R52" s="7"/>
      <c r="S52" s="7"/>
      <c r="T52" s="7"/>
      <c r="U52" s="7"/>
    </row>
    <row r="53" ht="30" customHeight="1">
      <c r="A53" s="135">
        <v>52</v>
      </c>
      <c r="B53" t="s" s="129">
        <v>166</v>
      </c>
      <c r="C53" t="s" s="144">
        <v>167</v>
      </c>
      <c r="D53" s="138"/>
      <c r="E53" s="137"/>
      <c r="F53" s="137"/>
      <c r="G53" s="138"/>
      <c r="H53" t="str" s="160" cm="1">
        <f t="array" ref="H53">IF(AND(E53="NC",G53=""),"Il manque un message d'erreur",IF(AND(E53&lt;&gt;"NC",G53&lt;&gt;""),"Il faut seulement écrire un message d'erreur pour NC",""))</f>
      </c>
      <c r="I53" s="139" cm="1">
        <f t="array" ref="I53">'P01'!E53</f>
        <v>0</v>
      </c>
      <c r="J53" s="139" cm="1">
        <f t="array" ref="J53">E53</f>
        <v>0</v>
      </c>
      <c r="K53" s="139" cm="1">
        <f t="array" ref="K53">'P03'!E53</f>
        <v>0</v>
      </c>
      <c r="L53" s="7"/>
      <c r="M53" s="7"/>
      <c r="N53" s="7"/>
      <c r="O53" s="7"/>
      <c r="P53" s="7"/>
      <c r="Q53" s="7"/>
      <c r="R53" s="7"/>
      <c r="S53" s="7"/>
      <c r="T53" s="7"/>
      <c r="U53" s="7"/>
    </row>
  </sheetData>
  <conditionalFormatting sqref="D1:D53">
    <cfRule type="cellIs" dxfId="6" priority="1" operator="equal" stopIfTrue="1">
      <formula>"NA"</formula>
    </cfRule>
  </conditionalFormatting>
  <conditionalFormatting sqref="E1">
    <cfRule type="cellIs" dxfId="7" priority="1" operator="equal" stopIfTrue="1">
      <formula>"NT"</formula>
    </cfRule>
  </conditionalFormatting>
  <conditionalFormatting sqref="I1:K53">
    <cfRule type="cellIs" dxfId="8" priority="1" operator="equal" stopIfTrue="1">
      <formula>"NC"</formula>
    </cfRule>
  </conditionalFormatting>
  <conditionalFormatting sqref="E2:E53">
    <cfRule type="cellIs" dxfId="9" priority="1" operator="equal" stopIfTrue="1">
      <formula>"NT"</formula>
    </cfRule>
  </conditionalFormatting>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8.xml><?xml version="1.0" encoding="utf-8"?>
<worksheet xmlns:r="http://schemas.openxmlformats.org/officeDocument/2006/relationships" xmlns="http://schemas.openxmlformats.org/spreadsheetml/2006/main">
  <dimension ref="A1:U53"/>
  <sheetViews>
    <sheetView workbookViewId="0" showGridLines="0" defaultGridColor="1"/>
  </sheetViews>
  <sheetFormatPr defaultColWidth="8.71429" defaultRowHeight="15.75" customHeight="1" outlineLevelRow="0" outlineLevelCol="0"/>
  <cols>
    <col min="1" max="2" width="6" style="161" customWidth="1"/>
    <col min="3" max="3" width="54" style="161" customWidth="1"/>
    <col min="4" max="4" width="8.86719" style="161" customWidth="1"/>
    <col min="5" max="5" width="5.28906" style="161" customWidth="1"/>
    <col min="6" max="6" width="5" style="161" customWidth="1"/>
    <col min="7" max="7" width="52.2891" style="161" customWidth="1"/>
    <col min="8" max="8" width="25.1562" style="161" customWidth="1"/>
    <col min="9" max="9" width="5.44531" style="161" customWidth="1"/>
    <col min="10" max="10" width="5.86719" style="161" customWidth="1"/>
    <col min="11" max="11" width="12.7344" style="161" customWidth="1"/>
    <col min="12" max="21" width="8.86719" style="161" customWidth="1"/>
    <col min="22" max="16384" width="8.73438" style="161" customWidth="1"/>
  </cols>
  <sheetData>
    <row r="1" ht="101.25" customHeight="1">
      <c r="A1" t="s" s="119">
        <v>57</v>
      </c>
      <c r="B1" t="s" s="120">
        <v>58</v>
      </c>
      <c r="C1" t="s" s="121">
        <v>59</v>
      </c>
      <c r="D1" t="s" s="122">
        <v>168</v>
      </c>
      <c r="E1" t="s" s="123">
        <v>23</v>
      </c>
      <c r="F1" t="s" s="123">
        <v>61</v>
      </c>
      <c r="G1" t="s" s="124">
        <v>62</v>
      </c>
      <c r="H1" t="s" s="156">
        <v>63</v>
      </c>
      <c r="I1" t="s" s="157">
        <v>7</v>
      </c>
      <c r="J1" t="s" s="156">
        <v>8</v>
      </c>
      <c r="K1" t="str" s="158" cm="1">
        <f t="array" ref="K1">"P03 "&amp;COUNTA(E2:E53)&amp;"/"&amp;COUNTA(C2:C53)</f>
        <v>P03 0/52</v>
      </c>
      <c r="L1" s="62"/>
      <c r="M1" s="7"/>
      <c r="N1" s="7"/>
      <c r="O1" s="7"/>
      <c r="P1" s="7"/>
      <c r="Q1" s="7"/>
      <c r="R1" s="7"/>
      <c r="S1" s="7"/>
      <c r="T1" s="7"/>
      <c r="U1" s="7"/>
    </row>
    <row r="2" ht="42.75" customHeight="1">
      <c r="A2" s="128">
        <v>1</v>
      </c>
      <c r="B2" t="s" s="129">
        <v>65</v>
      </c>
      <c r="C2" t="s" s="130">
        <v>66</v>
      </c>
      <c r="D2" s="131"/>
      <c r="E2" s="132"/>
      <c r="F2" s="132"/>
      <c r="G2" s="133"/>
      <c r="H2" t="str" s="159" cm="1">
        <f t="array" ref="H2">IF(AND(E2="NC",G2=""),"Il manque un message d'erreur",IF(AND(E2&lt;&gt;"NC",G2&lt;&gt;""),"Il faut seulement écrire un message d'erreur pour NC",""))</f>
      </c>
      <c r="I2" s="134" cm="1">
        <f t="array" ref="I2">'P01'!E2</f>
        <v>0</v>
      </c>
      <c r="J2" s="134" cm="1">
        <f t="array" ref="J2">'P02'!E2</f>
        <v>0</v>
      </c>
      <c r="K2" s="134" cm="1">
        <f t="array" ref="K2">E2</f>
        <v>0</v>
      </c>
      <c r="L2" s="7"/>
      <c r="M2" s="7"/>
      <c r="N2" s="7"/>
      <c r="O2" s="7"/>
      <c r="P2" s="7"/>
      <c r="Q2" s="7"/>
      <c r="R2" s="7"/>
      <c r="S2" s="7"/>
      <c r="T2" s="7"/>
      <c r="U2" s="7"/>
    </row>
    <row r="3" ht="30" customHeight="1">
      <c r="A3" s="135">
        <v>2</v>
      </c>
      <c r="B3" t="s" s="129">
        <v>67</v>
      </c>
      <c r="C3" t="s" s="130">
        <v>68</v>
      </c>
      <c r="D3" s="136"/>
      <c r="E3" s="137"/>
      <c r="F3" s="137"/>
      <c r="G3" s="138"/>
      <c r="H3" t="str" s="160" cm="1">
        <f t="array" ref="H3">IF(AND(E3="NC",G3=""),"Il manque un message d'erreur",IF(AND(E3&lt;&gt;"NC",G3&lt;&gt;""),"Il faut seulement écrire un message d'erreur pour NC",""))</f>
      </c>
      <c r="I3" s="139" cm="1">
        <f t="array" ref="I3">'P01'!E3</f>
        <v>0</v>
      </c>
      <c r="J3" s="139" cm="1">
        <f t="array" ref="J3">'P02'!E3</f>
        <v>0</v>
      </c>
      <c r="K3" s="139" cm="1">
        <f t="array" ref="K3">E3</f>
        <v>0</v>
      </c>
      <c r="L3" s="7"/>
      <c r="M3" s="7"/>
      <c r="N3" s="7"/>
      <c r="O3" s="7"/>
      <c r="P3" s="7"/>
      <c r="Q3" s="7"/>
      <c r="R3" s="7"/>
      <c r="S3" s="7"/>
      <c r="T3" s="7"/>
      <c r="U3" s="7"/>
    </row>
    <row r="4" ht="30" customHeight="1">
      <c r="A4" s="135">
        <v>3</v>
      </c>
      <c r="B4" t="s" s="129">
        <v>69</v>
      </c>
      <c r="C4" t="s" s="130">
        <v>70</v>
      </c>
      <c r="D4" s="140" cm="1">
        <f t="array" ref="D4">IF(OR(E2="NA",E2="NC"),"NA",T3)</f>
        <v>0</v>
      </c>
      <c r="E4" s="137"/>
      <c r="F4" s="137"/>
      <c r="G4" s="138"/>
      <c r="H4" t="str" s="160" cm="1">
        <f t="array" ref="H4">IF(AND(E4="NC",G4=""),"Il manque un message d'erreur",IF(AND(E4&lt;&gt;"NC",G4&lt;&gt;""),"Il faut seulement écrire un message d'erreur pour NC",""))</f>
      </c>
      <c r="I4" s="139" cm="1">
        <f t="array" ref="I4">'P01'!E4</f>
        <v>0</v>
      </c>
      <c r="J4" s="139" cm="1">
        <f t="array" ref="J4">'P02'!E4</f>
        <v>0</v>
      </c>
      <c r="K4" s="139" cm="1">
        <f t="array" ref="K4">E4</f>
        <v>0</v>
      </c>
      <c r="L4" s="7"/>
      <c r="M4" s="7"/>
      <c r="N4" s="7"/>
      <c r="O4" s="7"/>
      <c r="P4" s="7"/>
      <c r="Q4" s="7"/>
      <c r="R4" s="7"/>
      <c r="S4" s="7"/>
      <c r="T4" s="7"/>
      <c r="U4" s="7"/>
    </row>
    <row r="5" ht="45" customHeight="1">
      <c r="A5" s="135">
        <v>4</v>
      </c>
      <c r="B5" t="s" s="129">
        <v>71</v>
      </c>
      <c r="C5" t="s" s="130">
        <v>72</v>
      </c>
      <c r="D5" s="136"/>
      <c r="E5" s="137"/>
      <c r="F5" s="137"/>
      <c r="G5" s="138"/>
      <c r="H5" t="str" s="160" cm="1">
        <f t="array" ref="H5">IF(AND(E5="NC",G5=""),"Il manque un message d'erreur",IF(AND(E5&lt;&gt;"NC",G5&lt;&gt;""),"Il faut seulement écrire un message d'erreur pour NC",""))</f>
      </c>
      <c r="I5" s="139" cm="1">
        <f t="array" ref="I5">'P01'!E5</f>
        <v>0</v>
      </c>
      <c r="J5" s="139" cm="1">
        <f t="array" ref="J5">'P02'!E5</f>
        <v>0</v>
      </c>
      <c r="K5" s="139" cm="1">
        <f t="array" ref="K5">E5</f>
        <v>0</v>
      </c>
      <c r="L5" s="7"/>
      <c r="M5" s="7"/>
      <c r="N5" s="7"/>
      <c r="O5" s="7"/>
      <c r="P5" s="7"/>
      <c r="Q5" s="7"/>
      <c r="R5" s="7"/>
      <c r="S5" s="7"/>
      <c r="T5" s="7"/>
      <c r="U5" s="7"/>
    </row>
    <row r="6" ht="30" customHeight="1">
      <c r="A6" s="135">
        <v>5</v>
      </c>
      <c r="B6" t="s" s="129">
        <v>73</v>
      </c>
      <c r="C6" t="s" s="130">
        <v>74</v>
      </c>
      <c r="D6" s="136"/>
      <c r="E6" s="137"/>
      <c r="F6" s="137"/>
      <c r="G6" s="138"/>
      <c r="H6" t="str" s="160" cm="1">
        <f t="array" ref="H6">IF(AND(E6="NC",G6=""),"Il manque un message d'erreur",IF(AND(E6&lt;&gt;"NC",G6&lt;&gt;""),"Il faut seulement écrire un message d'erreur pour NC",""))</f>
      </c>
      <c r="I6" s="139" cm="1">
        <f t="array" ref="I6">'P01'!E6</f>
        <v>0</v>
      </c>
      <c r="J6" s="139" cm="1">
        <f t="array" ref="J6">'P02'!E6</f>
        <v>0</v>
      </c>
      <c r="K6" s="139" cm="1">
        <f t="array" ref="K6">E6</f>
        <v>0</v>
      </c>
      <c r="L6" s="7"/>
      <c r="M6" s="7"/>
      <c r="N6" s="7"/>
      <c r="O6" s="7"/>
      <c r="P6" s="7"/>
      <c r="Q6" s="7"/>
      <c r="R6" s="7"/>
      <c r="S6" s="7"/>
      <c r="T6" s="7"/>
      <c r="U6" s="7"/>
    </row>
    <row r="7" ht="30" customHeight="1">
      <c r="A7" s="135">
        <v>6</v>
      </c>
      <c r="B7" t="s" s="129">
        <v>75</v>
      </c>
      <c r="C7" t="s" s="130">
        <v>76</v>
      </c>
      <c r="D7" s="140" cm="1">
        <f t="array" ref="D7">IF(OR(E2="NA",E2="NC"),"NA",T6)</f>
        <v>0</v>
      </c>
      <c r="E7" s="137"/>
      <c r="F7" s="137"/>
      <c r="G7" s="138"/>
      <c r="H7" t="str" s="160" cm="1">
        <f t="array" ref="H7">IF(AND(E7="NC",G7=""),"Il manque un message d'erreur",IF(AND(E7&lt;&gt;"NC",G7&lt;&gt;""),"Il faut seulement écrire un message d'erreur pour NC",""))</f>
      </c>
      <c r="I7" s="139" cm="1">
        <f t="array" ref="I7">'P01'!E7</f>
        <v>0</v>
      </c>
      <c r="J7" s="139" cm="1">
        <f t="array" ref="J7">'P02'!E7</f>
        <v>0</v>
      </c>
      <c r="K7" s="139" cm="1">
        <f t="array" ref="K7">E7</f>
        <v>0</v>
      </c>
      <c r="L7" s="7"/>
      <c r="M7" s="7"/>
      <c r="N7" s="7"/>
      <c r="O7" s="7"/>
      <c r="P7" s="7"/>
      <c r="Q7" s="7"/>
      <c r="R7" s="7"/>
      <c r="S7" s="7"/>
      <c r="T7" s="7"/>
      <c r="U7" s="7"/>
    </row>
    <row r="8" ht="30" customHeight="1">
      <c r="A8" s="135">
        <v>7</v>
      </c>
      <c r="B8" t="s" s="129">
        <v>77</v>
      </c>
      <c r="C8" t="s" s="141">
        <v>78</v>
      </c>
      <c r="D8" s="140" cm="1">
        <f t="array" ref="D8">IF(OR(E2="NA",E2="NC"),"NA",T7)</f>
        <v>0</v>
      </c>
      <c r="E8" s="137"/>
      <c r="F8" s="137"/>
      <c r="G8" s="138"/>
      <c r="H8" t="str" s="160" cm="1">
        <f t="array" ref="H8">IF(AND(E8="NC",G8=""),"Il manque un message d'erreur",IF(AND(E8&lt;&gt;"NC",G8&lt;&gt;""),"Il faut seulement écrire un message d'erreur pour NC",""))</f>
      </c>
      <c r="I8" s="139" cm="1">
        <f t="array" ref="I8">'P01'!E8</f>
        <v>0</v>
      </c>
      <c r="J8" s="139" cm="1">
        <f t="array" ref="J8">'P02'!E8</f>
        <v>0</v>
      </c>
      <c r="K8" s="139" cm="1">
        <f t="array" ref="K8">E8</f>
        <v>0</v>
      </c>
      <c r="L8" s="7"/>
      <c r="M8" s="7"/>
      <c r="N8" s="7"/>
      <c r="O8" s="7"/>
      <c r="P8" s="7"/>
      <c r="Q8" s="7"/>
      <c r="R8" s="7"/>
      <c r="S8" s="7"/>
      <c r="T8" s="7"/>
      <c r="U8" s="7"/>
    </row>
    <row r="9" ht="16.6" customHeight="1">
      <c r="A9" s="135">
        <v>8</v>
      </c>
      <c r="B9" s="142">
        <v>2.1</v>
      </c>
      <c r="C9" t="s" s="143">
        <v>79</v>
      </c>
      <c r="D9" s="138"/>
      <c r="E9" s="137"/>
      <c r="F9" s="137"/>
      <c r="G9" s="138"/>
      <c r="H9" t="str" s="160" cm="1">
        <f t="array" ref="H9">IF(AND(E9="NC",G9=""),"Il manque un message d'erreur",IF(AND(E9&lt;&gt;"NC",G9&lt;&gt;""),"Il faut seulement écrire un message d'erreur pour NC",""))</f>
      </c>
      <c r="I9" s="139" cm="1">
        <f t="array" ref="I9">'P01'!E9</f>
        <v>0</v>
      </c>
      <c r="J9" s="139" cm="1">
        <f t="array" ref="J9">'P02'!E9</f>
        <v>0</v>
      </c>
      <c r="K9" s="139" cm="1">
        <f t="array" ref="K9">E9</f>
        <v>0</v>
      </c>
      <c r="L9" s="7"/>
      <c r="M9" s="7"/>
      <c r="N9" s="7"/>
      <c r="O9" s="7"/>
      <c r="P9" s="7"/>
      <c r="Q9" s="7"/>
      <c r="R9" s="7"/>
      <c r="S9" s="7"/>
      <c r="T9" s="7"/>
      <c r="U9" s="7"/>
    </row>
    <row r="10" ht="30" customHeight="1">
      <c r="A10" s="135">
        <v>9</v>
      </c>
      <c r="B10" t="s" s="129">
        <v>80</v>
      </c>
      <c r="C10" t="s" s="144">
        <v>81</v>
      </c>
      <c r="D10" s="138"/>
      <c r="E10" s="137"/>
      <c r="F10" s="137"/>
      <c r="G10" s="138"/>
      <c r="H10" t="str" s="160" cm="1">
        <f t="array" ref="H10">IF(AND(E10="NC",G10=""),"Il manque un message d'erreur",IF(AND(E10&lt;&gt;"NC",G10&lt;&gt;""),"Il faut seulement écrire un message d'erreur pour NC",""))</f>
      </c>
      <c r="I10" s="139" cm="1">
        <f t="array" ref="I10">'P01'!E10</f>
        <v>0</v>
      </c>
      <c r="J10" s="139" cm="1">
        <f t="array" ref="J10">'P02'!E10</f>
        <v>0</v>
      </c>
      <c r="K10" s="139" cm="1">
        <f t="array" ref="K10">E10</f>
        <v>0</v>
      </c>
      <c r="L10" s="7"/>
      <c r="M10" s="7"/>
      <c r="N10" s="7"/>
      <c r="O10" s="7"/>
      <c r="P10" s="7"/>
      <c r="Q10" s="7"/>
      <c r="R10" s="7"/>
      <c r="S10" s="7"/>
      <c r="T10" s="7"/>
      <c r="U10" s="7"/>
    </row>
    <row r="11" ht="30" customHeight="1">
      <c r="A11" s="135">
        <v>10</v>
      </c>
      <c r="B11" t="s" s="129">
        <v>82</v>
      </c>
      <c r="C11" t="s" s="144">
        <v>83</v>
      </c>
      <c r="D11" s="138"/>
      <c r="E11" s="137"/>
      <c r="F11" s="137"/>
      <c r="G11" s="138"/>
      <c r="H11" t="str" s="160" cm="1">
        <f t="array" ref="H11">IF(AND(E11="NC",G11=""),"Il manque un message d'erreur",IF(AND(E11&lt;&gt;"NC",G11&lt;&gt;""),"Il faut seulement écrire un message d'erreur pour NC",""))</f>
      </c>
      <c r="I11" s="139" cm="1">
        <f t="array" ref="I11">'P01'!E11</f>
        <v>0</v>
      </c>
      <c r="J11" s="139" cm="1">
        <f t="array" ref="J11">'P02'!E11</f>
        <v>0</v>
      </c>
      <c r="K11" s="139" cm="1">
        <f t="array" ref="K11">E11</f>
        <v>0</v>
      </c>
      <c r="L11" s="7"/>
      <c r="M11" s="7"/>
      <c r="N11" s="7"/>
      <c r="O11" s="7"/>
      <c r="P11" s="7"/>
      <c r="Q11" s="7"/>
      <c r="R11" s="7"/>
      <c r="S11" s="7"/>
      <c r="T11" s="7"/>
      <c r="U11" s="7"/>
    </row>
    <row r="12" ht="30" customHeight="1">
      <c r="A12" s="135">
        <v>11</v>
      </c>
      <c r="B12" t="s" s="129">
        <v>84</v>
      </c>
      <c r="C12" t="s" s="144">
        <v>85</v>
      </c>
      <c r="D12" s="138"/>
      <c r="E12" s="137"/>
      <c r="F12" s="137"/>
      <c r="G12" s="138"/>
      <c r="H12" t="str" s="160" cm="1">
        <f t="array" ref="H12">IF(AND(E12="NC",G12=""),"Il manque un message d'erreur",IF(AND(E12&lt;&gt;"NC",G12&lt;&gt;""),"Il faut seulement écrire un message d'erreur pour NC",""))</f>
      </c>
      <c r="I12" s="139" cm="1">
        <f t="array" ref="I12">'P01'!E12</f>
        <v>0</v>
      </c>
      <c r="J12" s="139" cm="1">
        <f t="array" ref="J12">'P02'!E12</f>
        <v>0</v>
      </c>
      <c r="K12" s="139" cm="1">
        <f t="array" ref="K12">E12</f>
        <v>0</v>
      </c>
      <c r="L12" s="7"/>
      <c r="M12" s="7"/>
      <c r="N12" s="7"/>
      <c r="O12" s="7"/>
      <c r="P12" s="7"/>
      <c r="Q12" s="7"/>
      <c r="R12" s="7"/>
      <c r="S12" s="7"/>
      <c r="T12" s="7"/>
      <c r="U12" s="7"/>
    </row>
    <row r="13" ht="45" customHeight="1">
      <c r="A13" s="135">
        <v>12</v>
      </c>
      <c r="B13" t="s" s="129">
        <v>86</v>
      </c>
      <c r="C13" t="s" s="144">
        <v>87</v>
      </c>
      <c r="D13" s="145" cm="1">
        <f t="array" ref="D13">IF(OR(E12="NA",E12="NC"),"NA",T13)</f>
        <v>0</v>
      </c>
      <c r="E13" s="137"/>
      <c r="F13" s="137"/>
      <c r="G13" s="138"/>
      <c r="H13" t="str" s="160" cm="1">
        <f t="array" ref="H13">IF(AND(E13="NC",G13=""),"Il manque un message d'erreur",IF(AND(E13&lt;&gt;"NC",G13&lt;&gt;""),"Il faut seulement écrire un message d'erreur pour NC",""))</f>
      </c>
      <c r="I13" s="139" cm="1">
        <f t="array" ref="I13">'P01'!E13</f>
        <v>0</v>
      </c>
      <c r="J13" s="139" cm="1">
        <f t="array" ref="J13">'P02'!E13</f>
        <v>0</v>
      </c>
      <c r="K13" s="139" cm="1">
        <f t="array" ref="K13">E13</f>
        <v>0</v>
      </c>
      <c r="L13" s="7"/>
      <c r="M13" s="7"/>
      <c r="N13" s="7"/>
      <c r="O13" s="7"/>
      <c r="P13" s="7"/>
      <c r="Q13" s="7"/>
      <c r="R13" s="7"/>
      <c r="S13" s="7"/>
      <c r="T13" s="7"/>
      <c r="U13" s="7"/>
    </row>
    <row r="14" ht="30" customHeight="1">
      <c r="A14" s="135">
        <v>13</v>
      </c>
      <c r="B14" t="s" s="129">
        <v>88</v>
      </c>
      <c r="C14" t="s" s="144">
        <v>89</v>
      </c>
      <c r="D14" s="145" cm="1">
        <f t="array" ref="D14">IF(OR(E12="NA",E12="NC"),"NA",T14)</f>
        <v>0</v>
      </c>
      <c r="E14" s="137"/>
      <c r="F14" s="137"/>
      <c r="G14" s="138"/>
      <c r="H14" t="str" s="160" cm="1">
        <f t="array" ref="H14">IF(AND(E14="NC",G14=""),"Il manque un message d'erreur",IF(AND(E14&lt;&gt;"NC",G14&lt;&gt;""),"Il faut seulement écrire un message d'erreur pour NC",""))</f>
      </c>
      <c r="I14" s="139" cm="1">
        <f t="array" ref="I14">'P01'!E14</f>
        <v>0</v>
      </c>
      <c r="J14" s="139" cm="1">
        <f t="array" ref="J14">'P02'!E14</f>
        <v>0</v>
      </c>
      <c r="K14" s="139" cm="1">
        <f t="array" ref="K14">E14</f>
        <v>0</v>
      </c>
      <c r="L14" s="7"/>
      <c r="M14" s="7"/>
      <c r="N14" s="7"/>
      <c r="O14" s="7"/>
      <c r="P14" s="7"/>
      <c r="Q14" s="7"/>
      <c r="R14" s="7"/>
      <c r="S14" s="7"/>
      <c r="T14" s="7"/>
      <c r="U14" s="7"/>
    </row>
    <row r="15" ht="30" customHeight="1">
      <c r="A15" s="135">
        <v>14</v>
      </c>
      <c r="B15" t="s" s="129">
        <v>90</v>
      </c>
      <c r="C15" t="s" s="144">
        <v>91</v>
      </c>
      <c r="D15" s="145" cm="1">
        <f t="array" ref="D15">IF(OR(E12="NA",E12="NC"),"NA",T15)</f>
        <v>0</v>
      </c>
      <c r="E15" s="137"/>
      <c r="F15" s="137"/>
      <c r="G15" s="138"/>
      <c r="H15" t="str" s="160" cm="1">
        <f t="array" ref="H15">IF(AND(E15="NC",G15=""),"Il manque un message d'erreur",IF(AND(E15&lt;&gt;"NC",G15&lt;&gt;""),"Il faut seulement écrire un message d'erreur pour NC",""))</f>
      </c>
      <c r="I15" s="139" cm="1">
        <f t="array" ref="I15">'P01'!E15</f>
        <v>0</v>
      </c>
      <c r="J15" s="139" cm="1">
        <f t="array" ref="J15">'P02'!E15</f>
        <v>0</v>
      </c>
      <c r="K15" s="139" cm="1">
        <f t="array" ref="K15">E15</f>
        <v>0</v>
      </c>
      <c r="L15" s="7"/>
      <c r="M15" s="7"/>
      <c r="N15" s="7"/>
      <c r="O15" s="7"/>
      <c r="P15" s="7"/>
      <c r="Q15" s="7"/>
      <c r="R15" s="7"/>
      <c r="S15" s="7"/>
      <c r="T15" s="7"/>
      <c r="U15" s="7"/>
    </row>
    <row r="16" ht="30" customHeight="1">
      <c r="A16" s="135">
        <v>15</v>
      </c>
      <c r="B16" t="s" s="129">
        <v>92</v>
      </c>
      <c r="C16" t="s" s="144">
        <v>93</v>
      </c>
      <c r="D16" s="138"/>
      <c r="E16" s="137"/>
      <c r="F16" s="137"/>
      <c r="G16" s="138"/>
      <c r="H16" t="str" s="160" cm="1">
        <f t="array" ref="H16">IF(AND(E16="NC",G16=""),"Il manque un message d'erreur",IF(AND(E16&lt;&gt;"NC",G16&lt;&gt;""),"Il faut seulement écrire un message d'erreur pour NC",""))</f>
      </c>
      <c r="I16" s="139" cm="1">
        <f t="array" ref="I16">'P01'!E16</f>
        <v>0</v>
      </c>
      <c r="J16" s="139" cm="1">
        <f t="array" ref="J16">'P02'!E16</f>
        <v>0</v>
      </c>
      <c r="K16" s="139" cm="1">
        <f t="array" ref="K16">E16</f>
        <v>0</v>
      </c>
      <c r="L16" s="7"/>
      <c r="M16" s="7"/>
      <c r="N16" s="7"/>
      <c r="O16" s="7"/>
      <c r="P16" s="7"/>
      <c r="Q16" s="7"/>
      <c r="R16" s="7"/>
      <c r="S16" s="7"/>
      <c r="T16" s="7"/>
      <c r="U16" s="7"/>
    </row>
    <row r="17" ht="30" customHeight="1">
      <c r="A17" s="135">
        <v>16</v>
      </c>
      <c r="B17" t="s" s="129">
        <v>94</v>
      </c>
      <c r="C17" t="s" s="144">
        <v>95</v>
      </c>
      <c r="D17" s="145" cm="1">
        <f t="array" ref="D17">IF(OR(E16="NA",E16="NC"),"NA",T21)</f>
        <v>0</v>
      </c>
      <c r="E17" s="137"/>
      <c r="F17" s="137"/>
      <c r="G17" s="138"/>
      <c r="H17" t="str" s="160" cm="1">
        <f t="array" ref="H17">IF(AND(E17="NC",G17=""),"Il manque un message d'erreur",IF(AND(E17&lt;&gt;"NC",G17&lt;&gt;""),"Il faut seulement écrire un message d'erreur pour NC",""))</f>
      </c>
      <c r="I17" s="139" cm="1">
        <f t="array" ref="I17">'P01'!E17</f>
        <v>0</v>
      </c>
      <c r="J17" s="139" cm="1">
        <f t="array" ref="J17">'P02'!E17</f>
        <v>0</v>
      </c>
      <c r="K17" s="139" cm="1">
        <f t="array" ref="K17">E17</f>
        <v>0</v>
      </c>
      <c r="L17" s="7"/>
      <c r="M17" s="7"/>
      <c r="N17" s="7"/>
      <c r="O17" s="7"/>
      <c r="P17" s="7"/>
      <c r="Q17" s="7"/>
      <c r="R17" s="7"/>
      <c r="S17" s="7"/>
      <c r="T17" s="7"/>
      <c r="U17" s="7"/>
    </row>
    <row r="18" ht="30" customHeight="1">
      <c r="A18" s="135">
        <v>17</v>
      </c>
      <c r="B18" t="s" s="129">
        <v>96</v>
      </c>
      <c r="C18" t="s" s="144">
        <v>97</v>
      </c>
      <c r="D18" s="138"/>
      <c r="E18" s="137"/>
      <c r="F18" s="137"/>
      <c r="G18" s="138"/>
      <c r="H18" t="str" s="160" cm="1">
        <f t="array" ref="H18">IF(AND(E18="NC",G18=""),"Il manque un message d'erreur",IF(AND(E18&lt;&gt;"NC",G18&lt;&gt;""),"Il faut seulement écrire un message d'erreur pour NC",""))</f>
      </c>
      <c r="I18" s="139" cm="1">
        <f t="array" ref="I18">'P01'!E18</f>
        <v>0</v>
      </c>
      <c r="J18" s="139" cm="1">
        <f t="array" ref="J18">'P02'!E18</f>
        <v>0</v>
      </c>
      <c r="K18" s="139" cm="1">
        <f t="array" ref="K18">E18</f>
        <v>0</v>
      </c>
      <c r="L18" s="7"/>
      <c r="M18" s="7"/>
      <c r="N18" s="7"/>
      <c r="O18" s="7"/>
      <c r="P18" s="7"/>
      <c r="Q18" s="7"/>
      <c r="R18" s="7"/>
      <c r="S18" s="7"/>
      <c r="T18" s="7"/>
      <c r="U18" s="7"/>
    </row>
    <row r="19" ht="30" customHeight="1">
      <c r="A19" s="135">
        <v>18</v>
      </c>
      <c r="B19" t="s" s="129">
        <v>98</v>
      </c>
      <c r="C19" t="s" s="144">
        <v>99</v>
      </c>
      <c r="D19" s="145" cm="1">
        <f t="array" ref="D19">IF(OR(E12="NA",E12="NC"),"NA",T16)</f>
        <v>0</v>
      </c>
      <c r="E19" s="137"/>
      <c r="F19" s="137"/>
      <c r="G19" s="138"/>
      <c r="H19" t="str" s="160" cm="1">
        <f t="array" ref="H19">IF(AND(E19="NC",G19=""),"Il manque un message d'erreur",IF(AND(E19&lt;&gt;"NC",G19&lt;&gt;""),"Il faut seulement écrire un message d'erreur pour NC",""))</f>
      </c>
      <c r="I19" s="139" cm="1">
        <f t="array" ref="I19">'P01'!E19</f>
        <v>0</v>
      </c>
      <c r="J19" s="139" cm="1">
        <f t="array" ref="J19">'P02'!E19</f>
        <v>0</v>
      </c>
      <c r="K19" s="139" cm="1">
        <f t="array" ref="K19">E19</f>
        <v>0</v>
      </c>
      <c r="L19" s="7"/>
      <c r="M19" s="7"/>
      <c r="N19" s="7"/>
      <c r="O19" s="7"/>
      <c r="P19" s="7"/>
      <c r="Q19" s="7"/>
      <c r="R19" s="7"/>
      <c r="S19" s="7"/>
      <c r="T19" s="7"/>
      <c r="U19" s="7"/>
    </row>
    <row r="20" ht="30" customHeight="1">
      <c r="A20" s="135">
        <v>19</v>
      </c>
      <c r="B20" t="s" s="129">
        <v>100</v>
      </c>
      <c r="C20" t="s" s="144">
        <v>101</v>
      </c>
      <c r="D20" s="138"/>
      <c r="E20" s="137"/>
      <c r="F20" s="137"/>
      <c r="G20" s="138"/>
      <c r="H20" t="str" s="160" cm="1">
        <f t="array" ref="H20">IF(AND(E20="NC",G20=""),"Il manque un message d'erreur",IF(AND(E20&lt;&gt;"NC",G20&lt;&gt;""),"Il faut seulement écrire un message d'erreur pour NC",""))</f>
      </c>
      <c r="I20" s="139" cm="1">
        <f t="array" ref="I20">'P01'!E20</f>
        <v>0</v>
      </c>
      <c r="J20" s="139" cm="1">
        <f t="array" ref="J20">'P02'!E20</f>
        <v>0</v>
      </c>
      <c r="K20" s="139" cm="1">
        <f t="array" ref="K20">E20</f>
        <v>0</v>
      </c>
      <c r="L20" s="7"/>
      <c r="M20" s="7"/>
      <c r="N20" s="7"/>
      <c r="O20" s="7"/>
      <c r="P20" s="7"/>
      <c r="Q20" s="7"/>
      <c r="R20" s="7"/>
      <c r="S20" s="7"/>
      <c r="T20" s="7"/>
      <c r="U20" s="7"/>
    </row>
    <row r="21" ht="45" customHeight="1">
      <c r="A21" s="135">
        <v>20</v>
      </c>
      <c r="B21" t="s" s="129">
        <v>102</v>
      </c>
      <c r="C21" t="s" s="144">
        <v>103</v>
      </c>
      <c r="D21" s="145" cm="1">
        <f t="array" ref="D21">IF(OR(E20="NA",E20="NC"),"NA",T26)</f>
        <v>0</v>
      </c>
      <c r="E21" s="137"/>
      <c r="F21" s="137"/>
      <c r="G21" s="138"/>
      <c r="H21" t="str" s="160" cm="1">
        <f t="array" ref="H21">IF(AND(E21="NC",G21=""),"Il manque un message d'erreur",IF(AND(E21&lt;&gt;"NC",G21&lt;&gt;""),"Il faut seulement écrire un message d'erreur pour NC",""))</f>
      </c>
      <c r="I21" s="139" cm="1">
        <f t="array" ref="I21">'P01'!E21</f>
        <v>0</v>
      </c>
      <c r="J21" s="139" cm="1">
        <f t="array" ref="J21">'P02'!E21</f>
        <v>0</v>
      </c>
      <c r="K21" s="139" cm="1">
        <f t="array" ref="K21">E21</f>
        <v>0</v>
      </c>
      <c r="L21" s="7"/>
      <c r="M21" s="7"/>
      <c r="N21" s="7"/>
      <c r="O21" s="7"/>
      <c r="P21" s="7"/>
      <c r="Q21" s="7"/>
      <c r="R21" s="7"/>
      <c r="S21" s="7"/>
      <c r="T21" s="7"/>
      <c r="U21" s="7"/>
    </row>
    <row r="22" ht="16.6" customHeight="1">
      <c r="A22" s="135">
        <v>21</v>
      </c>
      <c r="B22" t="s" s="129">
        <v>104</v>
      </c>
      <c r="C22" t="s" s="144">
        <v>105</v>
      </c>
      <c r="D22" s="138"/>
      <c r="E22" s="137"/>
      <c r="F22" s="137"/>
      <c r="G22" s="138"/>
      <c r="H22" t="str" s="160" cm="1">
        <f t="array" ref="H22">IF(AND(E22="NC",G22=""),"Il manque un message d'erreur",IF(AND(E22&lt;&gt;"NC",G22&lt;&gt;""),"Il faut seulement écrire un message d'erreur pour NC",""))</f>
      </c>
      <c r="I22" s="139" cm="1">
        <f t="array" ref="I22">'P01'!E22</f>
        <v>0</v>
      </c>
      <c r="J22" s="139" cm="1">
        <f t="array" ref="J22">'P02'!E22</f>
        <v>0</v>
      </c>
      <c r="K22" s="139" cm="1">
        <f t="array" ref="K22">E22</f>
        <v>0</v>
      </c>
      <c r="L22" s="7"/>
      <c r="M22" s="7"/>
      <c r="N22" s="7"/>
      <c r="O22" s="7"/>
      <c r="P22" s="7"/>
      <c r="Q22" s="7"/>
      <c r="R22" s="7"/>
      <c r="S22" s="7"/>
      <c r="T22" s="7"/>
      <c r="U22" s="7"/>
    </row>
    <row r="23" ht="16.6" customHeight="1">
      <c r="A23" s="135">
        <v>22</v>
      </c>
      <c r="B23" t="s" s="129">
        <v>106</v>
      </c>
      <c r="C23" t="s" s="144">
        <v>107</v>
      </c>
      <c r="D23" s="138"/>
      <c r="E23" s="137"/>
      <c r="F23" s="137"/>
      <c r="G23" s="138"/>
      <c r="H23" t="str" s="160" cm="1">
        <f t="array" ref="H23">IF(AND(E23="NC",G23=""),"Il manque un message d'erreur",IF(AND(E23&lt;&gt;"NC",G23&lt;&gt;""),"Il faut seulement écrire un message d'erreur pour NC",""))</f>
      </c>
      <c r="I23" s="139" cm="1">
        <f t="array" ref="I23">'P01'!E23</f>
        <v>0</v>
      </c>
      <c r="J23" s="139" cm="1">
        <f t="array" ref="J23">'P02'!E23</f>
        <v>0</v>
      </c>
      <c r="K23" s="139" cm="1">
        <f t="array" ref="K23">E23</f>
        <v>0</v>
      </c>
      <c r="L23" s="7"/>
      <c r="M23" s="7"/>
      <c r="N23" s="7"/>
      <c r="O23" s="7"/>
      <c r="P23" s="7"/>
      <c r="Q23" s="7"/>
      <c r="R23" s="7"/>
      <c r="S23" s="7"/>
      <c r="T23" s="7"/>
      <c r="U23" s="7"/>
    </row>
    <row r="24" ht="30" customHeight="1">
      <c r="A24" s="135">
        <v>23</v>
      </c>
      <c r="B24" t="s" s="129">
        <v>108</v>
      </c>
      <c r="C24" t="s" s="144">
        <v>109</v>
      </c>
      <c r="D24" s="138"/>
      <c r="E24" s="137"/>
      <c r="F24" s="137"/>
      <c r="G24" s="138"/>
      <c r="H24" t="str" s="160" cm="1">
        <f t="array" ref="H24">IF(AND(E24="NC",G24=""),"Il manque un message d'erreur",IF(AND(E24&lt;&gt;"NC",G24&lt;&gt;""),"Il faut seulement écrire un message d'erreur pour NC",""))</f>
      </c>
      <c r="I24" s="139" cm="1">
        <f t="array" ref="I24">'P01'!E24</f>
        <v>0</v>
      </c>
      <c r="J24" s="139" cm="1">
        <f t="array" ref="J24">'P02'!E24</f>
        <v>0</v>
      </c>
      <c r="K24" s="139" cm="1">
        <f t="array" ref="K24">E24</f>
        <v>0</v>
      </c>
      <c r="L24" s="7"/>
      <c r="M24" s="7"/>
      <c r="N24" s="7"/>
      <c r="O24" s="7"/>
      <c r="P24" s="7"/>
      <c r="Q24" s="7"/>
      <c r="R24" s="7"/>
      <c r="S24" s="7"/>
      <c r="T24" s="7"/>
      <c r="U24" s="7"/>
    </row>
    <row r="25" ht="30" customHeight="1">
      <c r="A25" s="135">
        <v>24</v>
      </c>
      <c r="B25" t="s" s="129">
        <v>110</v>
      </c>
      <c r="C25" t="s" s="144">
        <v>111</v>
      </c>
      <c r="D25" s="138"/>
      <c r="E25" s="137"/>
      <c r="F25" s="137"/>
      <c r="G25" s="138"/>
      <c r="H25" t="str" s="160" cm="1">
        <f t="array" ref="H25">IF(AND(E25="NC",G25=""),"Il manque un message d'erreur",IF(AND(E25&lt;&gt;"NC",G25&lt;&gt;""),"Il faut seulement écrire un message d'erreur pour NC",""))</f>
      </c>
      <c r="I25" s="139" cm="1">
        <f t="array" ref="I25">'P01'!E25</f>
        <v>0</v>
      </c>
      <c r="J25" s="139" cm="1">
        <f t="array" ref="J25">'P02'!E25</f>
        <v>0</v>
      </c>
      <c r="K25" s="139" cm="1">
        <f t="array" ref="K25">E25</f>
        <v>0</v>
      </c>
      <c r="L25" s="7"/>
      <c r="M25" s="7"/>
      <c r="N25" s="7"/>
      <c r="O25" s="7"/>
      <c r="P25" s="7"/>
      <c r="Q25" s="7"/>
      <c r="R25" s="7"/>
      <c r="S25" s="7"/>
      <c r="T25" s="7"/>
      <c r="U25" s="7"/>
    </row>
    <row r="26" ht="16.6" customHeight="1">
      <c r="A26" s="135">
        <v>25</v>
      </c>
      <c r="B26" t="s" s="129">
        <v>112</v>
      </c>
      <c r="C26" t="s" s="144">
        <v>113</v>
      </c>
      <c r="D26" s="138"/>
      <c r="E26" s="137"/>
      <c r="F26" s="137"/>
      <c r="G26" s="138"/>
      <c r="H26" t="str" s="160" cm="1">
        <f t="array" ref="H26">IF(AND(E26="NC",G26=""),"Il manque un message d'erreur",IF(AND(E26&lt;&gt;"NC",G26&lt;&gt;""),"Il faut seulement écrire un message d'erreur pour NC",""))</f>
      </c>
      <c r="I26" s="139" cm="1">
        <f t="array" ref="I26">'P01'!E26</f>
        <v>0</v>
      </c>
      <c r="J26" s="139" cm="1">
        <f t="array" ref="J26">'P02'!E26</f>
        <v>0</v>
      </c>
      <c r="K26" s="139" cm="1">
        <f t="array" ref="K26">E26</f>
        <v>0</v>
      </c>
      <c r="L26" s="7"/>
      <c r="M26" s="7"/>
      <c r="N26" s="7"/>
      <c r="O26" s="7"/>
      <c r="P26" s="7"/>
      <c r="Q26" s="7"/>
      <c r="R26" s="7"/>
      <c r="S26" s="7"/>
      <c r="T26" s="7"/>
      <c r="U26" s="7"/>
    </row>
    <row r="27" ht="30" customHeight="1">
      <c r="A27" s="135">
        <v>26</v>
      </c>
      <c r="B27" t="s" s="129">
        <v>114</v>
      </c>
      <c r="C27" t="s" s="144">
        <v>115</v>
      </c>
      <c r="D27" s="138"/>
      <c r="E27" s="137"/>
      <c r="F27" s="137"/>
      <c r="G27" s="138"/>
      <c r="H27" t="str" s="160" cm="1">
        <f t="array" ref="H27">IF(AND(E27="NC",G27=""),"Il manque un message d'erreur",IF(AND(E27&lt;&gt;"NC",G27&lt;&gt;""),"Il faut seulement écrire un message d'erreur pour NC",""))</f>
      </c>
      <c r="I27" s="139" cm="1">
        <f t="array" ref="I27">'P01'!E27</f>
        <v>0</v>
      </c>
      <c r="J27" s="139" cm="1">
        <f t="array" ref="J27">'P02'!E27</f>
        <v>0</v>
      </c>
      <c r="K27" s="139" cm="1">
        <f t="array" ref="K27">E27</f>
        <v>0</v>
      </c>
      <c r="L27" s="7"/>
      <c r="M27" s="7"/>
      <c r="N27" s="7"/>
      <c r="O27" s="7"/>
      <c r="P27" s="7"/>
      <c r="Q27" s="7"/>
      <c r="R27" s="7"/>
      <c r="S27" s="7"/>
      <c r="T27" s="7"/>
      <c r="U27" s="7"/>
    </row>
    <row r="28" ht="16.6" customHeight="1">
      <c r="A28" s="135">
        <v>27</v>
      </c>
      <c r="B28" t="s" s="129">
        <v>116</v>
      </c>
      <c r="C28" t="s" s="144">
        <v>117</v>
      </c>
      <c r="D28" s="145" cm="1">
        <f t="array" ref="D28">IF(E27="NA","NA",U35)</f>
        <v>0</v>
      </c>
      <c r="E28" s="137"/>
      <c r="F28" s="137"/>
      <c r="G28" s="138"/>
      <c r="H28" t="str" s="160" cm="1">
        <f t="array" ref="H28">IF(AND(E28="NC",G28=""),"Il manque un message d'erreur",IF(AND(E28&lt;&gt;"NC",G28&lt;&gt;""),"Il faut seulement écrire un message d'erreur pour NC",""))</f>
      </c>
      <c r="I28" s="139" cm="1">
        <f t="array" ref="I28">'P01'!E28</f>
        <v>0</v>
      </c>
      <c r="J28" s="139" cm="1">
        <f t="array" ref="J28">'P02'!E28</f>
        <v>0</v>
      </c>
      <c r="K28" s="139" cm="1">
        <f t="array" ref="K28">E28</f>
        <v>0</v>
      </c>
      <c r="L28" s="7"/>
      <c r="M28" s="7"/>
      <c r="N28" s="7"/>
      <c r="O28" s="7"/>
      <c r="P28" s="7"/>
      <c r="Q28" s="7"/>
      <c r="R28" s="7"/>
      <c r="S28" s="7"/>
      <c r="T28" s="7"/>
      <c r="U28" s="7"/>
    </row>
    <row r="29" ht="16.6" customHeight="1">
      <c r="A29" s="135">
        <v>28</v>
      </c>
      <c r="B29" t="s" s="129">
        <v>118</v>
      </c>
      <c r="C29" t="s" s="144">
        <v>119</v>
      </c>
      <c r="D29" s="138"/>
      <c r="E29" s="137"/>
      <c r="F29" s="137"/>
      <c r="G29" s="138"/>
      <c r="H29" t="str" s="160" cm="1">
        <f t="array" ref="H29">IF(AND(E29="NC",G29=""),"Il manque un message d'erreur",IF(AND(E29&lt;&gt;"NC",G29&lt;&gt;""),"Il faut seulement écrire un message d'erreur pour NC",""))</f>
      </c>
      <c r="I29" s="139" cm="1">
        <f t="array" ref="I29">'P01'!E29</f>
        <v>0</v>
      </c>
      <c r="J29" s="139" cm="1">
        <f t="array" ref="J29">'P02'!E29</f>
        <v>0</v>
      </c>
      <c r="K29" s="139" cm="1">
        <f t="array" ref="K29">E29</f>
        <v>0</v>
      </c>
      <c r="L29" s="7"/>
      <c r="M29" s="7"/>
      <c r="N29" s="7"/>
      <c r="O29" s="7"/>
      <c r="P29" s="7"/>
      <c r="Q29" s="7"/>
      <c r="R29" s="7"/>
      <c r="S29" s="7"/>
      <c r="T29" s="7"/>
      <c r="U29" s="7"/>
    </row>
    <row r="30" ht="30" customHeight="1">
      <c r="A30" s="135">
        <v>29</v>
      </c>
      <c r="B30" t="s" s="129">
        <v>120</v>
      </c>
      <c r="C30" t="s" s="144">
        <v>121</v>
      </c>
      <c r="D30" s="138"/>
      <c r="E30" s="137"/>
      <c r="F30" s="137"/>
      <c r="G30" s="138"/>
      <c r="H30" t="str" s="160" cm="1">
        <f t="array" ref="H30">IF(AND(E30="NC",G30=""),"Il manque un message d'erreur",IF(AND(E30&lt;&gt;"NC",G30&lt;&gt;""),"Il faut seulement écrire un message d'erreur pour NC",""))</f>
      </c>
      <c r="I30" s="139" cm="1">
        <f t="array" ref="I30">'P01'!E30</f>
        <v>0</v>
      </c>
      <c r="J30" s="139" cm="1">
        <f t="array" ref="J30">'P02'!E30</f>
        <v>0</v>
      </c>
      <c r="K30" s="139" cm="1">
        <f t="array" ref="K30">E30</f>
        <v>0</v>
      </c>
      <c r="L30" s="7"/>
      <c r="M30" s="7"/>
      <c r="N30" s="7"/>
      <c r="O30" s="7"/>
      <c r="P30" s="7"/>
      <c r="Q30" s="7"/>
      <c r="R30" s="7"/>
      <c r="S30" s="7"/>
      <c r="T30" s="7"/>
      <c r="U30" s="7"/>
    </row>
    <row r="31" ht="30" customHeight="1">
      <c r="A31" s="135">
        <v>30</v>
      </c>
      <c r="B31" t="s" s="129">
        <v>122</v>
      </c>
      <c r="C31" t="s" s="144">
        <v>123</v>
      </c>
      <c r="D31" s="138"/>
      <c r="E31" s="137"/>
      <c r="F31" s="137"/>
      <c r="G31" s="138"/>
      <c r="H31" t="str" s="160" cm="1">
        <f t="array" ref="H31">IF(AND(E31="NC",G31=""),"Il manque un message d'erreur",IF(AND(E31&lt;&gt;"NC",G31&lt;&gt;""),"Il faut seulement écrire un message d'erreur pour NC",""))</f>
      </c>
      <c r="I31" s="139" cm="1">
        <f t="array" ref="I31">'P01'!E31</f>
        <v>0</v>
      </c>
      <c r="J31" s="139" cm="1">
        <f t="array" ref="J31">'P02'!E31</f>
        <v>0</v>
      </c>
      <c r="K31" s="139" cm="1">
        <f t="array" ref="K31">E31</f>
        <v>0</v>
      </c>
      <c r="L31" s="7"/>
      <c r="M31" s="7"/>
      <c r="N31" s="7"/>
      <c r="O31" s="7"/>
      <c r="P31" s="7"/>
      <c r="Q31" s="7"/>
      <c r="R31" s="7"/>
      <c r="S31" s="7"/>
      <c r="T31" s="7"/>
      <c r="U31" s="7"/>
    </row>
    <row r="32" ht="30" customHeight="1">
      <c r="A32" s="135">
        <v>31</v>
      </c>
      <c r="B32" t="s" s="129">
        <v>124</v>
      </c>
      <c r="C32" t="s" s="144">
        <v>125</v>
      </c>
      <c r="D32" s="145" cm="1">
        <f t="array" ref="D32">IF(OR(E31="NA",E31="NC"),"NA",T40)</f>
        <v>0</v>
      </c>
      <c r="E32" s="137"/>
      <c r="F32" s="137"/>
      <c r="G32" s="138"/>
      <c r="H32" t="str" s="160" cm="1">
        <f t="array" ref="H32">IF(AND(E32="NC",G32=""),"Il manque un message d'erreur",IF(AND(E32&lt;&gt;"NC",G32&lt;&gt;""),"Il faut seulement écrire un message d'erreur pour NC",""))</f>
      </c>
      <c r="I32" s="139" cm="1">
        <f t="array" ref="I32">'P01'!E32</f>
        <v>0</v>
      </c>
      <c r="J32" s="139" cm="1">
        <f t="array" ref="J32">'P02'!E32</f>
        <v>0</v>
      </c>
      <c r="K32" s="139" cm="1">
        <f t="array" ref="K32">E32</f>
        <v>0</v>
      </c>
      <c r="L32" s="7"/>
      <c r="M32" s="7"/>
      <c r="N32" s="7"/>
      <c r="O32" s="7"/>
      <c r="P32" s="7"/>
      <c r="Q32" s="7"/>
      <c r="R32" s="7"/>
      <c r="S32" s="7"/>
      <c r="T32" s="7"/>
      <c r="U32" s="7"/>
    </row>
    <row r="33" ht="30" customHeight="1">
      <c r="A33" s="135">
        <v>32</v>
      </c>
      <c r="B33" t="s" s="129">
        <v>126</v>
      </c>
      <c r="C33" t="s" s="144">
        <v>127</v>
      </c>
      <c r="D33" s="138"/>
      <c r="E33" s="137"/>
      <c r="F33" s="137"/>
      <c r="G33" s="138"/>
      <c r="H33" t="str" s="160" cm="1">
        <f t="array" ref="H33">IF(AND(E33="NC",G33=""),"Il manque un message d'erreur",IF(AND(E33&lt;&gt;"NC",G33&lt;&gt;""),"Il faut seulement écrire un message d'erreur pour NC",""))</f>
      </c>
      <c r="I33" s="139" cm="1">
        <f t="array" ref="I33">'P01'!E33</f>
        <v>0</v>
      </c>
      <c r="J33" s="139" cm="1">
        <f t="array" ref="J33">'P02'!E33</f>
        <v>0</v>
      </c>
      <c r="K33" s="139" cm="1">
        <f t="array" ref="K33">E33</f>
        <v>0</v>
      </c>
      <c r="L33" s="7"/>
      <c r="M33" s="7"/>
      <c r="N33" s="7"/>
      <c r="O33" s="7"/>
      <c r="P33" s="7"/>
      <c r="Q33" s="7"/>
      <c r="R33" s="7"/>
      <c r="S33" s="7"/>
      <c r="T33" s="7"/>
      <c r="U33" s="7"/>
    </row>
    <row r="34" ht="30" customHeight="1">
      <c r="A34" s="135">
        <v>33</v>
      </c>
      <c r="B34" t="s" s="129">
        <v>128</v>
      </c>
      <c r="C34" t="s" s="144">
        <v>129</v>
      </c>
      <c r="D34" s="138"/>
      <c r="E34" s="137"/>
      <c r="F34" s="137"/>
      <c r="G34" s="138"/>
      <c r="H34" t="str" s="160" cm="1">
        <f t="array" ref="H34">IF(AND(E34="NC",G34=""),"Il manque un message d'erreur",IF(AND(E34&lt;&gt;"NC",G34&lt;&gt;""),"Il faut seulement écrire un message d'erreur pour NC",""))</f>
      </c>
      <c r="I34" s="139" cm="1">
        <f t="array" ref="I34">'P01'!E34</f>
        <v>0</v>
      </c>
      <c r="J34" s="139" cm="1">
        <f t="array" ref="J34">'P02'!E34</f>
        <v>0</v>
      </c>
      <c r="K34" s="139" cm="1">
        <f t="array" ref="K34">E34</f>
        <v>0</v>
      </c>
      <c r="L34" s="7"/>
      <c r="M34" s="7"/>
      <c r="N34" s="7"/>
      <c r="O34" s="7"/>
      <c r="P34" s="7"/>
      <c r="Q34" s="7"/>
      <c r="R34" s="7"/>
      <c r="S34" s="7"/>
      <c r="T34" s="7"/>
      <c r="U34" s="7"/>
    </row>
    <row r="35" ht="30" customHeight="1">
      <c r="A35" s="135">
        <v>34</v>
      </c>
      <c r="B35" t="s" s="129">
        <v>130</v>
      </c>
      <c r="C35" t="s" s="144">
        <v>131</v>
      </c>
      <c r="D35" s="138"/>
      <c r="E35" s="137"/>
      <c r="F35" s="137"/>
      <c r="G35" s="138"/>
      <c r="H35" t="str" s="160" cm="1">
        <f t="array" ref="H35">IF(AND(E35="NC",G35=""),"Il manque un message d'erreur",IF(AND(E35&lt;&gt;"NC",G35&lt;&gt;""),"Il faut seulement écrire un message d'erreur pour NC",""))</f>
      </c>
      <c r="I35" s="139" cm="1">
        <f t="array" ref="I35">'P01'!E35</f>
        <v>0</v>
      </c>
      <c r="J35" s="139" cm="1">
        <f t="array" ref="J35">'P02'!E35</f>
        <v>0</v>
      </c>
      <c r="K35" s="139" cm="1">
        <f t="array" ref="K35">E35</f>
        <v>0</v>
      </c>
      <c r="L35" s="7"/>
      <c r="M35" s="7"/>
      <c r="N35" s="7"/>
      <c r="O35" s="7"/>
      <c r="P35" s="7"/>
      <c r="Q35" s="7"/>
      <c r="R35" s="7"/>
      <c r="S35" s="7"/>
      <c r="T35" s="7"/>
      <c r="U35" s="7"/>
    </row>
    <row r="36" ht="30" customHeight="1">
      <c r="A36" s="135">
        <v>35</v>
      </c>
      <c r="B36" t="s" s="129">
        <v>132</v>
      </c>
      <c r="C36" t="s" s="144">
        <v>133</v>
      </c>
      <c r="D36" s="138"/>
      <c r="E36" s="137"/>
      <c r="F36" s="137"/>
      <c r="G36" s="138"/>
      <c r="H36" t="str" s="160" cm="1">
        <f t="array" ref="H36">IF(AND(E36="NC",G36=""),"Il manque un message d'erreur",IF(AND(E36&lt;&gt;"NC",G36&lt;&gt;""),"Il faut seulement écrire un message d'erreur pour NC",""))</f>
      </c>
      <c r="I36" s="139" cm="1">
        <f t="array" ref="I36">'P01'!E36</f>
        <v>0</v>
      </c>
      <c r="J36" s="139" cm="1">
        <f t="array" ref="J36">'P02'!E36</f>
        <v>0</v>
      </c>
      <c r="K36" s="139" cm="1">
        <f t="array" ref="K36">E36</f>
        <v>0</v>
      </c>
      <c r="L36" s="7"/>
      <c r="M36" s="7"/>
      <c r="N36" s="7"/>
      <c r="O36" s="7"/>
      <c r="P36" s="7"/>
      <c r="Q36" s="7"/>
      <c r="R36" s="7"/>
      <c r="S36" s="7"/>
      <c r="T36" s="7"/>
      <c r="U36" s="7"/>
    </row>
    <row r="37" ht="45" customHeight="1">
      <c r="A37" s="135">
        <v>36</v>
      </c>
      <c r="B37" t="s" s="129">
        <v>134</v>
      </c>
      <c r="C37" t="s" s="144">
        <v>135</v>
      </c>
      <c r="D37" s="138"/>
      <c r="E37" s="137"/>
      <c r="F37" s="137"/>
      <c r="G37" s="151"/>
      <c r="H37" t="str" s="160" cm="1">
        <f t="array" ref="H37">IF(AND(E37="NC",G37=""),"Il manque un message d'erreur",IF(AND(E37&lt;&gt;"NC",G37&lt;&gt;""),"Il faut seulement écrire un message d'erreur pour NC",""))</f>
      </c>
      <c r="I37" s="139" cm="1">
        <f t="array" ref="I37">'P01'!E37</f>
        <v>0</v>
      </c>
      <c r="J37" s="139" cm="1">
        <f t="array" ref="J37">'P02'!E37</f>
        <v>0</v>
      </c>
      <c r="K37" s="139" cm="1">
        <f t="array" ref="K37">E37</f>
        <v>0</v>
      </c>
      <c r="L37" s="7"/>
      <c r="M37" s="7"/>
      <c r="N37" s="7"/>
      <c r="O37" s="7"/>
      <c r="P37" s="7"/>
      <c r="Q37" s="7"/>
      <c r="R37" s="7"/>
      <c r="S37" s="7"/>
      <c r="T37" s="7"/>
      <c r="U37" s="7"/>
    </row>
    <row r="38" ht="45" customHeight="1">
      <c r="A38" s="135">
        <v>37</v>
      </c>
      <c r="B38" t="s" s="129">
        <v>136</v>
      </c>
      <c r="C38" t="s" s="144">
        <v>137</v>
      </c>
      <c r="D38" s="138"/>
      <c r="E38" s="137"/>
      <c r="F38" s="137"/>
      <c r="G38" s="138"/>
      <c r="H38" t="str" s="160" cm="1">
        <f t="array" ref="H38">IF(AND(E38="NC",G38=""),"Il manque un message d'erreur",IF(AND(E38&lt;&gt;"NC",G38&lt;&gt;""),"Il faut seulement écrire un message d'erreur pour NC",""))</f>
      </c>
      <c r="I38" s="139" cm="1">
        <f t="array" ref="I38">'P01'!E38</f>
        <v>0</v>
      </c>
      <c r="J38" s="139" cm="1">
        <f t="array" ref="J38">'P02'!E38</f>
        <v>0</v>
      </c>
      <c r="K38" s="139" cm="1">
        <f t="array" ref="K38">E38</f>
        <v>0</v>
      </c>
      <c r="L38" s="7"/>
      <c r="M38" s="7"/>
      <c r="N38" s="7"/>
      <c r="O38" s="7"/>
      <c r="P38" s="7"/>
      <c r="Q38" s="7"/>
      <c r="R38" s="7"/>
      <c r="S38" s="7"/>
      <c r="T38" s="7"/>
      <c r="U38" s="7"/>
    </row>
    <row r="39" ht="16.6" customHeight="1">
      <c r="A39" s="135">
        <v>38</v>
      </c>
      <c r="B39" t="s" s="129">
        <v>138</v>
      </c>
      <c r="C39" t="s" s="144">
        <v>139</v>
      </c>
      <c r="D39" s="138"/>
      <c r="E39" s="137"/>
      <c r="F39" s="137"/>
      <c r="G39" s="138"/>
      <c r="H39" t="str" s="160" cm="1">
        <f t="array" ref="H39">IF(AND(E39="NC",G39=""),"Il manque un message d'erreur",IF(AND(E39&lt;&gt;"NC",G39&lt;&gt;""),"Il faut seulement écrire un message d'erreur pour NC",""))</f>
      </c>
      <c r="I39" s="139" cm="1">
        <f t="array" ref="I39">'P01'!E39</f>
        <v>0</v>
      </c>
      <c r="J39" s="139" cm="1">
        <f t="array" ref="J39">'P02'!E39</f>
        <v>0</v>
      </c>
      <c r="K39" s="139" cm="1">
        <f t="array" ref="K39">E39</f>
        <v>0</v>
      </c>
      <c r="L39" s="7"/>
      <c r="M39" s="7"/>
      <c r="N39" s="7"/>
      <c r="O39" s="7"/>
      <c r="P39" s="7"/>
      <c r="Q39" s="7"/>
      <c r="R39" s="7"/>
      <c r="S39" s="7"/>
      <c r="T39" s="7"/>
      <c r="U39" s="7"/>
    </row>
    <row r="40" ht="30" customHeight="1">
      <c r="A40" s="135">
        <v>39</v>
      </c>
      <c r="B40" t="s" s="129">
        <v>140</v>
      </c>
      <c r="C40" t="s" s="144">
        <v>141</v>
      </c>
      <c r="D40" s="138"/>
      <c r="E40" s="137"/>
      <c r="F40" s="137"/>
      <c r="G40" s="138"/>
      <c r="H40" t="str" s="160" cm="1">
        <f t="array" ref="H40">IF(AND(E40="NC",G40=""),"Il manque un message d'erreur",IF(AND(E40&lt;&gt;"NC",G40&lt;&gt;""),"Il faut seulement écrire un message d'erreur pour NC",""))</f>
      </c>
      <c r="I40" s="139" cm="1">
        <f t="array" ref="I40">'P01'!E40</f>
        <v>0</v>
      </c>
      <c r="J40" s="139" cm="1">
        <f t="array" ref="J40">'P02'!E40</f>
        <v>0</v>
      </c>
      <c r="K40" s="139" cm="1">
        <f t="array" ref="K40">E40</f>
        <v>0</v>
      </c>
      <c r="L40" s="7"/>
      <c r="M40" s="7"/>
      <c r="N40" s="7"/>
      <c r="O40" s="7"/>
      <c r="P40" s="7"/>
      <c r="Q40" s="7"/>
      <c r="R40" s="7"/>
      <c r="S40" s="7"/>
      <c r="T40" s="7"/>
      <c r="U40" s="7"/>
    </row>
    <row r="41" ht="30" customHeight="1">
      <c r="A41" s="135">
        <v>40</v>
      </c>
      <c r="B41" t="s" s="129">
        <v>142</v>
      </c>
      <c r="C41" t="s" s="144">
        <v>143</v>
      </c>
      <c r="D41" s="138"/>
      <c r="E41" s="137"/>
      <c r="F41" s="137"/>
      <c r="G41" s="138"/>
      <c r="H41" t="str" s="160" cm="1">
        <f t="array" ref="H41">IF(AND(E41="NC",G41=""),"Il manque un message d'erreur",IF(AND(E41&lt;&gt;"NC",G41&lt;&gt;""),"Il faut seulement écrire un message d'erreur pour NC",""))</f>
      </c>
      <c r="I41" s="139" cm="1">
        <f t="array" ref="I41">'P01'!E41</f>
        <v>0</v>
      </c>
      <c r="J41" s="139" cm="1">
        <f t="array" ref="J41">'P02'!E41</f>
        <v>0</v>
      </c>
      <c r="K41" s="139" cm="1">
        <f t="array" ref="K41">E41</f>
        <v>0</v>
      </c>
      <c r="L41" s="7"/>
      <c r="M41" s="7"/>
      <c r="N41" s="7"/>
      <c r="O41" s="7"/>
      <c r="P41" s="7"/>
      <c r="Q41" s="7"/>
      <c r="R41" s="7"/>
      <c r="S41" s="7"/>
      <c r="T41" s="7"/>
      <c r="U41" s="7"/>
    </row>
    <row r="42" ht="30" customHeight="1">
      <c r="A42" s="135">
        <v>41</v>
      </c>
      <c r="B42" t="s" s="129">
        <v>144</v>
      </c>
      <c r="C42" t="s" s="144">
        <v>145</v>
      </c>
      <c r="D42" s="138"/>
      <c r="E42" s="137"/>
      <c r="F42" s="137"/>
      <c r="G42" s="138"/>
      <c r="H42" t="str" s="160" cm="1">
        <f t="array" ref="H42">IF(AND(E42="NC",G42=""),"Il manque un message d'erreur",IF(AND(E42&lt;&gt;"NC",G42&lt;&gt;""),"Il faut seulement écrire un message d'erreur pour NC",""))</f>
      </c>
      <c r="I42" s="139" cm="1">
        <f t="array" ref="I42">'P01'!E42</f>
        <v>0</v>
      </c>
      <c r="J42" s="139" cm="1">
        <f t="array" ref="J42">'P02'!E42</f>
        <v>0</v>
      </c>
      <c r="K42" s="139" cm="1">
        <f t="array" ref="K42">E42</f>
        <v>0</v>
      </c>
      <c r="L42" s="7"/>
      <c r="M42" s="7"/>
      <c r="N42" s="7"/>
      <c r="O42" s="7"/>
      <c r="P42" s="7"/>
      <c r="Q42" s="7"/>
      <c r="R42" s="7"/>
      <c r="S42" s="7"/>
      <c r="T42" s="7"/>
      <c r="U42" s="7"/>
    </row>
    <row r="43" ht="30" customHeight="1">
      <c r="A43" s="135">
        <v>42</v>
      </c>
      <c r="B43" t="s" s="129">
        <v>146</v>
      </c>
      <c r="C43" t="s" s="144">
        <v>147</v>
      </c>
      <c r="D43" s="145" cm="1">
        <f t="array" ref="D43">IF(OR(E42="NA",E42="NC"),"NA",T50)</f>
        <v>0</v>
      </c>
      <c r="E43" s="137"/>
      <c r="F43" s="137"/>
      <c r="G43" s="138"/>
      <c r="H43" t="str" s="160" cm="1">
        <f t="array" ref="H43">IF(AND(E43="NC",G43=""),"Il manque un message d'erreur",IF(AND(E43&lt;&gt;"NC",G43&lt;&gt;""),"Il faut seulement écrire un message d'erreur pour NC",""))</f>
      </c>
      <c r="I43" s="139" cm="1">
        <f t="array" ref="I43">'P01'!E43</f>
        <v>0</v>
      </c>
      <c r="J43" s="139" cm="1">
        <f t="array" ref="J43">'P02'!E43</f>
        <v>0</v>
      </c>
      <c r="K43" s="139" cm="1">
        <f t="array" ref="K43">E43</f>
        <v>0</v>
      </c>
      <c r="L43" s="7"/>
      <c r="M43" s="7"/>
      <c r="N43" s="7"/>
      <c r="O43" s="7"/>
      <c r="P43" s="7"/>
      <c r="Q43" s="7"/>
      <c r="R43" s="7"/>
      <c r="S43" s="7"/>
      <c r="T43" s="7"/>
      <c r="U43" s="7"/>
    </row>
    <row r="44" ht="30" customHeight="1">
      <c r="A44" s="135">
        <v>43</v>
      </c>
      <c r="B44" t="s" s="129">
        <v>148</v>
      </c>
      <c r="C44" t="s" s="144">
        <v>149</v>
      </c>
      <c r="D44" s="145" cm="1">
        <f t="array" ref="D44">IF(OR(E42="NA",E42="NC"),"NA",T51)</f>
        <v>0</v>
      </c>
      <c r="E44" s="137"/>
      <c r="F44" s="137"/>
      <c r="G44" s="138"/>
      <c r="H44" t="str" s="160" cm="1">
        <f t="array" ref="H44">IF(AND(E44="NC",G44=""),"Il manque un message d'erreur",IF(AND(E44&lt;&gt;"NC",G44&lt;&gt;""),"Il faut seulement écrire un message d'erreur pour NC",""))</f>
      </c>
      <c r="I44" s="139" cm="1">
        <f t="array" ref="I44">'P01'!E44</f>
        <v>0</v>
      </c>
      <c r="J44" s="139" cm="1">
        <f t="array" ref="J44">'P02'!E44</f>
        <v>0</v>
      </c>
      <c r="K44" s="139" cm="1">
        <f t="array" ref="K44">E44</f>
        <v>0</v>
      </c>
      <c r="L44" s="7"/>
      <c r="M44" s="7"/>
      <c r="N44" s="7"/>
      <c r="O44" s="7"/>
      <c r="P44" s="7"/>
      <c r="Q44" s="7"/>
      <c r="R44" s="7"/>
      <c r="S44" s="7"/>
      <c r="T44" s="7"/>
      <c r="U44" s="7"/>
    </row>
    <row r="45" ht="30" customHeight="1">
      <c r="A45" s="135">
        <v>44</v>
      </c>
      <c r="B45" t="s" s="129">
        <v>150</v>
      </c>
      <c r="C45" t="s" s="152">
        <v>151</v>
      </c>
      <c r="D45" s="138"/>
      <c r="E45" s="137"/>
      <c r="F45" s="137"/>
      <c r="G45" s="138"/>
      <c r="H45" t="str" s="160" cm="1">
        <f t="array" ref="H45">IF(AND(E45="NC",G45=""),"Il manque un message d'erreur",IF(AND(E45&lt;&gt;"NC",G45&lt;&gt;""),"Il faut seulement écrire un message d'erreur pour NC",""))</f>
      </c>
      <c r="I45" s="139" cm="1">
        <f t="array" ref="I45">'P01'!E45</f>
        <v>0</v>
      </c>
      <c r="J45" s="139" cm="1">
        <f t="array" ref="J45">'P02'!E45</f>
        <v>0</v>
      </c>
      <c r="K45" s="139" cm="1">
        <f t="array" ref="K45">E45</f>
        <v>0</v>
      </c>
      <c r="L45" s="7"/>
      <c r="M45" s="7"/>
      <c r="N45" s="7"/>
      <c r="O45" s="7"/>
      <c r="P45" s="7"/>
      <c r="Q45" s="7"/>
      <c r="R45" s="7"/>
      <c r="S45" s="7"/>
      <c r="T45" s="7"/>
      <c r="U45" s="7"/>
    </row>
    <row r="46" ht="60" customHeight="1">
      <c r="A46" s="135">
        <v>45</v>
      </c>
      <c r="B46" t="s" s="129">
        <v>152</v>
      </c>
      <c r="C46" t="s" s="130">
        <v>153</v>
      </c>
      <c r="D46" s="136"/>
      <c r="E46" s="137"/>
      <c r="F46" s="137"/>
      <c r="G46" s="138"/>
      <c r="H46" t="str" s="160" cm="1">
        <f t="array" ref="H46">IF(AND(E46="NC",G46=""),"Il manque un message d'erreur",IF(AND(E46&lt;&gt;"NC",G46&lt;&gt;""),"Il faut seulement écrire un message d'erreur pour NC",""))</f>
      </c>
      <c r="I46" s="139" cm="1">
        <f t="array" ref="I46">'P01'!E46</f>
        <v>0</v>
      </c>
      <c r="J46" s="139" cm="1">
        <f t="array" ref="J46">'P02'!E46</f>
        <v>0</v>
      </c>
      <c r="K46" s="139" cm="1">
        <f t="array" ref="K46">E46</f>
        <v>0</v>
      </c>
      <c r="L46" s="7"/>
      <c r="M46" s="7"/>
      <c r="N46" s="7"/>
      <c r="O46" s="7"/>
      <c r="P46" s="7"/>
      <c r="Q46" s="7"/>
      <c r="R46" s="7"/>
      <c r="S46" s="7"/>
      <c r="T46" s="7"/>
      <c r="U46" s="7"/>
    </row>
    <row r="47" ht="30" customHeight="1">
      <c r="A47" s="135">
        <v>46</v>
      </c>
      <c r="B47" t="s" s="129">
        <v>154</v>
      </c>
      <c r="C47" t="s" s="130">
        <v>155</v>
      </c>
      <c r="D47" s="136"/>
      <c r="E47" s="137"/>
      <c r="F47" s="137"/>
      <c r="G47" s="138"/>
      <c r="H47" t="str" s="160" cm="1">
        <f t="array" ref="H47">IF(AND(E47="NC",G47=""),"Il manque un message d'erreur",IF(AND(E47&lt;&gt;"NC",G47&lt;&gt;""),"Il faut seulement écrire un message d'erreur pour NC",""))</f>
      </c>
      <c r="I47" s="139" cm="1">
        <f t="array" ref="I47">'P01'!E47</f>
        <v>0</v>
      </c>
      <c r="J47" s="139" cm="1">
        <f t="array" ref="J47">'P02'!E47</f>
        <v>0</v>
      </c>
      <c r="K47" s="139" cm="1">
        <f t="array" ref="K47">E47</f>
        <v>0</v>
      </c>
      <c r="L47" s="7"/>
      <c r="M47" s="7"/>
      <c r="N47" s="7"/>
      <c r="O47" s="7"/>
      <c r="P47" s="7"/>
      <c r="Q47" s="7"/>
      <c r="R47" s="7"/>
      <c r="S47" s="7"/>
      <c r="T47" s="7"/>
      <c r="U47" s="7"/>
    </row>
    <row r="48" ht="16.6" customHeight="1">
      <c r="A48" s="135">
        <v>47</v>
      </c>
      <c r="B48" t="s" s="129">
        <v>156</v>
      </c>
      <c r="C48" t="s" s="130">
        <v>157</v>
      </c>
      <c r="D48" s="136"/>
      <c r="E48" s="137"/>
      <c r="F48" s="137"/>
      <c r="G48" s="138"/>
      <c r="H48" t="str" s="160" cm="1">
        <f t="array" ref="H48">IF(AND(E48="NC",G48=""),"Il manque un message d'erreur",IF(AND(E48&lt;&gt;"NC",G48&lt;&gt;""),"Il faut seulement écrire un message d'erreur pour NC",""))</f>
      </c>
      <c r="I48" s="139" cm="1">
        <f t="array" ref="I48">'P01'!E48</f>
        <v>0</v>
      </c>
      <c r="J48" s="139" cm="1">
        <f t="array" ref="J48">'P02'!E48</f>
        <v>0</v>
      </c>
      <c r="K48" s="139" cm="1">
        <f t="array" ref="K48">E48</f>
        <v>0</v>
      </c>
      <c r="L48" s="7"/>
      <c r="M48" s="7"/>
      <c r="N48" s="7"/>
      <c r="O48" s="7"/>
      <c r="P48" s="7"/>
      <c r="Q48" s="7"/>
      <c r="R48" s="7"/>
      <c r="S48" s="7"/>
      <c r="T48" s="7"/>
      <c r="U48" s="7"/>
    </row>
    <row r="49" ht="30" customHeight="1">
      <c r="A49" s="135">
        <v>48</v>
      </c>
      <c r="B49" t="s" s="129">
        <v>158</v>
      </c>
      <c r="C49" t="s" s="130">
        <v>159</v>
      </c>
      <c r="D49" s="136"/>
      <c r="E49" s="137"/>
      <c r="F49" s="137"/>
      <c r="G49" s="138"/>
      <c r="H49" t="str" s="160" cm="1">
        <f t="array" ref="H49">IF(AND(E49="NC",G49=""),"Il manque un message d'erreur",IF(AND(E49&lt;&gt;"NC",G49&lt;&gt;""),"Il faut seulement écrire un message d'erreur pour NC",""))</f>
      </c>
      <c r="I49" s="139" cm="1">
        <f t="array" ref="I49">'P01'!E49</f>
        <v>0</v>
      </c>
      <c r="J49" s="139" cm="1">
        <f t="array" ref="J49">'P02'!E49</f>
        <v>0</v>
      </c>
      <c r="K49" s="139" cm="1">
        <f t="array" ref="K49">E49</f>
        <v>0</v>
      </c>
      <c r="L49" s="7"/>
      <c r="M49" s="7"/>
      <c r="N49" s="7"/>
      <c r="O49" s="7"/>
      <c r="P49" s="7"/>
      <c r="Q49" s="7"/>
      <c r="R49" s="7"/>
      <c r="S49" s="7"/>
      <c r="T49" s="7"/>
      <c r="U49" s="7"/>
    </row>
    <row r="50" ht="45" customHeight="1">
      <c r="A50" s="135">
        <v>49</v>
      </c>
      <c r="B50" t="s" s="129">
        <v>160</v>
      </c>
      <c r="C50" t="s" s="130">
        <v>161</v>
      </c>
      <c r="D50" s="136"/>
      <c r="E50" s="137"/>
      <c r="F50" s="137"/>
      <c r="G50" s="138"/>
      <c r="H50" t="str" s="160" cm="1">
        <f t="array" ref="H50">IF(AND(E50="NC",G50=""),"Il manque un message d'erreur",IF(AND(E50&lt;&gt;"NC",G50&lt;&gt;""),"Il faut seulement écrire un message d'erreur pour NC",""))</f>
      </c>
      <c r="I50" s="139" cm="1">
        <f t="array" ref="I50">'P01'!E50</f>
        <v>0</v>
      </c>
      <c r="J50" s="139" cm="1">
        <f t="array" ref="J50">'P02'!E50</f>
        <v>0</v>
      </c>
      <c r="K50" s="139" cm="1">
        <f t="array" ref="K50">E50</f>
        <v>0</v>
      </c>
      <c r="L50" s="7"/>
      <c r="M50" s="7"/>
      <c r="N50" s="7"/>
      <c r="O50" s="7"/>
      <c r="P50" s="7"/>
      <c r="Q50" s="7"/>
      <c r="R50" s="7"/>
      <c r="S50" s="7"/>
      <c r="T50" s="7"/>
      <c r="U50" s="7"/>
    </row>
    <row r="51" ht="30" customHeight="1">
      <c r="A51" s="135">
        <v>50</v>
      </c>
      <c r="B51" t="s" s="129">
        <v>162</v>
      </c>
      <c r="C51" t="s" s="154">
        <v>163</v>
      </c>
      <c r="D51" s="138"/>
      <c r="E51" s="137"/>
      <c r="F51" s="137"/>
      <c r="G51" s="138"/>
      <c r="H51" t="str" s="160" cm="1">
        <f t="array" ref="H51">IF(AND(E51="NC",G51=""),"Il manque un message d'erreur",IF(AND(E51&lt;&gt;"NC",G51&lt;&gt;""),"Il faut seulement écrire un message d'erreur pour NC",""))</f>
      </c>
      <c r="I51" s="139" cm="1">
        <f t="array" ref="I51">'P01'!E51</f>
        <v>0</v>
      </c>
      <c r="J51" s="139" cm="1">
        <f t="array" ref="J51">'P02'!E51</f>
        <v>0</v>
      </c>
      <c r="K51" s="139" cm="1">
        <f t="array" ref="K51">E51</f>
        <v>0</v>
      </c>
      <c r="L51" s="7"/>
      <c r="M51" s="7"/>
      <c r="N51" s="7"/>
      <c r="O51" s="7"/>
      <c r="P51" s="7"/>
      <c r="Q51" s="7"/>
      <c r="R51" s="7"/>
      <c r="S51" s="7"/>
      <c r="T51" s="7"/>
      <c r="U51" s="7"/>
    </row>
    <row r="52" ht="30" customHeight="1">
      <c r="A52" s="135">
        <v>51</v>
      </c>
      <c r="B52" t="s" s="129">
        <v>164</v>
      </c>
      <c r="C52" t="s" s="144">
        <v>165</v>
      </c>
      <c r="D52" s="138"/>
      <c r="E52" s="137"/>
      <c r="F52" s="137"/>
      <c r="G52" s="138"/>
      <c r="H52" t="str" s="160" cm="1">
        <f t="array" ref="H52">IF(AND(E52="NC",G52=""),"Il manque un message d'erreur",IF(AND(E52&lt;&gt;"NC",G52&lt;&gt;""),"Il faut seulement écrire un message d'erreur pour NC",""))</f>
      </c>
      <c r="I52" s="139" cm="1">
        <f t="array" ref="I52">'P01'!E52</f>
        <v>0</v>
      </c>
      <c r="J52" s="139" cm="1">
        <f t="array" ref="J52">'P02'!E52</f>
        <v>0</v>
      </c>
      <c r="K52" s="139" cm="1">
        <f t="array" ref="K52">E52</f>
        <v>0</v>
      </c>
      <c r="L52" s="7"/>
      <c r="M52" s="7"/>
      <c r="N52" s="7"/>
      <c r="O52" s="7"/>
      <c r="P52" s="7"/>
      <c r="Q52" s="7"/>
      <c r="R52" s="7"/>
      <c r="S52" s="7"/>
      <c r="T52" s="7"/>
      <c r="U52" s="7"/>
    </row>
    <row r="53" ht="30" customHeight="1">
      <c r="A53" s="135">
        <v>52</v>
      </c>
      <c r="B53" t="s" s="129">
        <v>166</v>
      </c>
      <c r="C53" t="s" s="144">
        <v>167</v>
      </c>
      <c r="D53" s="138"/>
      <c r="E53" s="137"/>
      <c r="F53" s="137"/>
      <c r="G53" s="138"/>
      <c r="H53" t="str" s="160" cm="1">
        <f t="array" ref="H53">IF(AND(E53="NC",G53=""),"Il manque un message d'erreur",IF(AND(E53&lt;&gt;"NC",G53&lt;&gt;""),"Il faut seulement écrire un message d'erreur pour NC",""))</f>
      </c>
      <c r="I53" s="139" cm="1">
        <f t="array" ref="I53">'P01'!E53</f>
        <v>0</v>
      </c>
      <c r="J53" s="139" cm="1">
        <f t="array" ref="J53">'P02'!E53</f>
        <v>0</v>
      </c>
      <c r="K53" s="139" cm="1">
        <f t="array" ref="K53">E53</f>
        <v>0</v>
      </c>
      <c r="L53" s="7"/>
      <c r="M53" s="7"/>
      <c r="N53" s="7"/>
      <c r="O53" s="7"/>
      <c r="P53" s="7"/>
      <c r="Q53" s="7"/>
      <c r="R53" s="7"/>
      <c r="S53" s="7"/>
      <c r="T53" s="7"/>
      <c r="U53" s="7"/>
    </row>
  </sheetData>
  <conditionalFormatting sqref="D1:D53">
    <cfRule type="cellIs" dxfId="10" priority="1" operator="equal" stopIfTrue="1">
      <formula>"NA"</formula>
    </cfRule>
  </conditionalFormatting>
  <conditionalFormatting sqref="E1">
    <cfRule type="cellIs" dxfId="11" priority="1" operator="equal" stopIfTrue="1">
      <formula>"NT"</formula>
    </cfRule>
  </conditionalFormatting>
  <conditionalFormatting sqref="I1:K53">
    <cfRule type="cellIs" dxfId="12" priority="1" operator="equal" stopIfTrue="1">
      <formula>"NC"</formula>
    </cfRule>
  </conditionalFormatting>
  <conditionalFormatting sqref="E2:E53">
    <cfRule type="cellIs" dxfId="13" priority="1" operator="equal" stopIfTrue="1">
      <formula>"NT"</formula>
    </cfRule>
  </conditionalFormatting>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9.xml><?xml version="1.0" encoding="utf-8"?>
<worksheet xmlns:r="http://schemas.openxmlformats.org/officeDocument/2006/relationships" xmlns="http://schemas.openxmlformats.org/spreadsheetml/2006/main">
  <dimension ref="A1:E299"/>
  <sheetViews>
    <sheetView workbookViewId="0" showGridLines="0" defaultGridColor="1"/>
  </sheetViews>
  <sheetFormatPr defaultColWidth="8.71429" defaultRowHeight="15" customHeight="1" outlineLevelRow="0" outlineLevelCol="0"/>
  <cols>
    <col min="1" max="1" width="8.73438" style="162" customWidth="1"/>
    <col min="2" max="2" width="8.86719" style="162" customWidth="1"/>
    <col min="3" max="3" width="12.1562" style="162" customWidth="1"/>
    <col min="4" max="4" width="68.8672" style="162" customWidth="1"/>
    <col min="5" max="5" width="53.8672" style="162" customWidth="1"/>
    <col min="6" max="16384" width="8.73438" style="162" customWidth="1"/>
  </cols>
  <sheetData>
    <row r="1" ht="16.6" customHeight="1">
      <c r="A1" t="s" s="163">
        <v>171</v>
      </c>
      <c r="B1" t="s" s="163">
        <v>58</v>
      </c>
      <c r="C1" t="s" s="164">
        <v>57</v>
      </c>
      <c r="D1" t="s" s="165">
        <v>172</v>
      </c>
      <c r="E1" t="s" s="166">
        <v>173</v>
      </c>
    </row>
    <row r="2" ht="16.6" customHeight="1">
      <c r="A2" t="str" s="167" cm="1">
        <f t="array" ref="A2">"P01"</f>
        <v>P01</v>
      </c>
      <c r="B2" t="s" s="168">
        <v>65</v>
      </c>
      <c r="C2" s="169">
        <v>1</v>
      </c>
      <c r="D2" s="170" cm="1">
        <f t="array" ref="D2">VLOOKUP(C2,'P01'!A1:G53,7,FALSE)</f>
        <v>0</v>
      </c>
      <c r="E2" s="171"/>
    </row>
    <row r="3" ht="16.6" customHeight="1">
      <c r="A3" t="str" s="172" cm="1">
        <f t="array" ref="A3">"P01"</f>
        <v>P01</v>
      </c>
      <c r="B3" t="s" s="129">
        <v>67</v>
      </c>
      <c r="C3" s="173">
        <v>2</v>
      </c>
      <c r="D3" s="174" cm="1">
        <f t="array" ref="D3">VLOOKUP(C3,'P01'!A1:G53,7,FALSE)</f>
        <v>0</v>
      </c>
      <c r="E3" s="103"/>
    </row>
    <row r="4" ht="16.6" customHeight="1">
      <c r="A4" t="str" s="172" cm="1">
        <f t="array" ref="A4">"P01"</f>
        <v>P01</v>
      </c>
      <c r="B4" t="s" s="129">
        <v>69</v>
      </c>
      <c r="C4" s="173">
        <v>3</v>
      </c>
      <c r="D4" s="174" cm="1">
        <f t="array" ref="D4">VLOOKUP(C4,'P01'!A1:G53,7,FALSE)</f>
        <v>0</v>
      </c>
      <c r="E4" s="103"/>
    </row>
    <row r="5" ht="16.6" customHeight="1">
      <c r="A5" t="str" s="172" cm="1">
        <f t="array" ref="A5">"P01"</f>
        <v>P01</v>
      </c>
      <c r="B5" t="s" s="129">
        <v>71</v>
      </c>
      <c r="C5" s="173">
        <v>4</v>
      </c>
      <c r="D5" s="174" cm="1">
        <f t="array" ref="D5">VLOOKUP(C5,'P01'!A1:G53,7,FALSE)</f>
        <v>0</v>
      </c>
      <c r="E5" s="103"/>
    </row>
    <row r="6" ht="16.6" customHeight="1">
      <c r="A6" t="str" s="172" cm="1">
        <f t="array" ref="A6">"P01"</f>
        <v>P01</v>
      </c>
      <c r="B6" t="s" s="129">
        <v>73</v>
      </c>
      <c r="C6" s="173">
        <v>5</v>
      </c>
      <c r="D6" s="174" cm="1">
        <f t="array" ref="D6">VLOOKUP(C6,'P01'!A1:G53,7,FALSE)</f>
        <v>0</v>
      </c>
      <c r="E6" s="103"/>
    </row>
    <row r="7" ht="16.6" customHeight="1">
      <c r="A7" t="str" s="172" cm="1">
        <f t="array" ref="A7">"P01"</f>
        <v>P01</v>
      </c>
      <c r="B7" t="s" s="129">
        <v>75</v>
      </c>
      <c r="C7" s="173">
        <v>6</v>
      </c>
      <c r="D7" s="174" cm="1">
        <f t="array" ref="D7">VLOOKUP(C7,'P01'!A1:G53,7,FALSE)</f>
        <v>0</v>
      </c>
      <c r="E7" s="103"/>
    </row>
    <row r="8" ht="16.6" customHeight="1">
      <c r="A8" t="str" s="172" cm="1">
        <f t="array" ref="A8">"P01"</f>
        <v>P01</v>
      </c>
      <c r="B8" t="s" s="129">
        <v>77</v>
      </c>
      <c r="C8" s="173">
        <v>7</v>
      </c>
      <c r="D8" s="174" cm="1">
        <f t="array" ref="D8">VLOOKUP(C8,'P01'!A1:G53,7,FALSE)</f>
        <v>0</v>
      </c>
      <c r="E8" s="103"/>
    </row>
    <row r="9" ht="16.6" customHeight="1">
      <c r="A9" t="str" s="172" cm="1">
        <f t="array" ref="A9">"P01"</f>
        <v>P01</v>
      </c>
      <c r="B9" s="142">
        <v>2.1</v>
      </c>
      <c r="C9" s="173">
        <v>8</v>
      </c>
      <c r="D9" s="174" cm="1">
        <f t="array" ref="D9">VLOOKUP(C9,'P01'!A1:G53,7,FALSE)</f>
        <v>0</v>
      </c>
      <c r="E9" s="103"/>
    </row>
    <row r="10" ht="16.6" customHeight="1">
      <c r="A10" t="str" s="175" cm="1">
        <f t="array" ref="A10">"P01"</f>
        <v>P01</v>
      </c>
      <c r="B10" t="s" s="129">
        <v>80</v>
      </c>
      <c r="C10" s="173">
        <v>9</v>
      </c>
      <c r="D10" s="174" cm="1">
        <f t="array" ref="D10">VLOOKUP(C10,'P01'!A1:G53,7,FALSE)</f>
        <v>0</v>
      </c>
      <c r="E10" s="103"/>
    </row>
    <row r="11" ht="16.6" customHeight="1">
      <c r="A11" t="str" s="172" cm="1">
        <f t="array" ref="A11">"P01"</f>
        <v>P01</v>
      </c>
      <c r="B11" t="s" s="129">
        <v>82</v>
      </c>
      <c r="C11" s="173">
        <v>10</v>
      </c>
      <c r="D11" s="174" cm="1">
        <f t="array" ref="D11">VLOOKUP(C11,'P01'!A1:G53,7,FALSE)</f>
        <v>0</v>
      </c>
      <c r="E11" s="103"/>
    </row>
    <row r="12" ht="16.6" customHeight="1">
      <c r="A12" t="str" s="172" cm="1">
        <f t="array" ref="A12">"P01"</f>
        <v>P01</v>
      </c>
      <c r="B12" t="s" s="129">
        <v>84</v>
      </c>
      <c r="C12" s="173">
        <v>11</v>
      </c>
      <c r="D12" s="174" cm="1">
        <f t="array" ref="D12">VLOOKUP(C12,'P01'!A1:G53,7,FALSE)</f>
        <v>0</v>
      </c>
      <c r="E12" s="103"/>
    </row>
    <row r="13" ht="16.6" customHeight="1">
      <c r="A13" t="str" s="172" cm="1">
        <f t="array" ref="A13">"P01"</f>
        <v>P01</v>
      </c>
      <c r="B13" t="s" s="129">
        <v>86</v>
      </c>
      <c r="C13" s="173">
        <v>12</v>
      </c>
      <c r="D13" s="174" cm="1">
        <f t="array" ref="D13">VLOOKUP(C13,'P01'!A1:G53,7,FALSE)</f>
        <v>0</v>
      </c>
      <c r="E13" s="103"/>
    </row>
    <row r="14" ht="16.6" customHeight="1">
      <c r="A14" t="str" s="172" cm="1">
        <f t="array" ref="A14">"P01"</f>
        <v>P01</v>
      </c>
      <c r="B14" t="s" s="129">
        <v>88</v>
      </c>
      <c r="C14" s="173">
        <v>13</v>
      </c>
      <c r="D14" s="174" cm="1">
        <f t="array" ref="D14">VLOOKUP(C14,'P01'!A1:G53,7,FALSE)</f>
        <v>0</v>
      </c>
      <c r="E14" s="103"/>
    </row>
    <row r="15" ht="16.6" customHeight="1">
      <c r="A15" t="str" s="172" cm="1">
        <f t="array" ref="A15">"P01"</f>
        <v>P01</v>
      </c>
      <c r="B15" t="s" s="129">
        <v>90</v>
      </c>
      <c r="C15" s="173">
        <v>14</v>
      </c>
      <c r="D15" s="174" cm="1">
        <f t="array" ref="D15">VLOOKUP(C15,'P01'!A1:G53,7,FALSE)</f>
        <v>0</v>
      </c>
      <c r="E15" s="103"/>
    </row>
    <row r="16" ht="16.6" customHeight="1">
      <c r="A16" t="str" s="172" cm="1">
        <f t="array" ref="A16">"P01"</f>
        <v>P01</v>
      </c>
      <c r="B16" t="s" s="129">
        <v>92</v>
      </c>
      <c r="C16" s="173">
        <v>15</v>
      </c>
      <c r="D16" s="174" cm="1">
        <f t="array" ref="D16">VLOOKUP(C16,'P01'!A1:G53,7,FALSE)</f>
        <v>0</v>
      </c>
      <c r="E16" s="103"/>
    </row>
    <row r="17" ht="16.6" customHeight="1">
      <c r="A17" t="str" s="172" cm="1">
        <f t="array" ref="A17">"P01"</f>
        <v>P01</v>
      </c>
      <c r="B17" t="s" s="129">
        <v>94</v>
      </c>
      <c r="C17" s="173">
        <v>16</v>
      </c>
      <c r="D17" s="174" cm="1">
        <f t="array" ref="D17">VLOOKUP(C17,'P01'!A1:G53,7,FALSE)</f>
        <v>0</v>
      </c>
      <c r="E17" s="103"/>
    </row>
    <row r="18" ht="16.6" customHeight="1">
      <c r="A18" t="str" s="172" cm="1">
        <f t="array" ref="A18">"P01"</f>
        <v>P01</v>
      </c>
      <c r="B18" t="s" s="129">
        <v>96</v>
      </c>
      <c r="C18" s="173">
        <v>17</v>
      </c>
      <c r="D18" s="174" cm="1">
        <f t="array" ref="D18">VLOOKUP(C18,'P01'!A1:G53,7,FALSE)</f>
        <v>0</v>
      </c>
      <c r="E18" s="103"/>
    </row>
    <row r="19" ht="16.6" customHeight="1">
      <c r="A19" t="str" s="172" cm="1">
        <f t="array" ref="A19">"P01"</f>
        <v>P01</v>
      </c>
      <c r="B19" t="s" s="129">
        <v>98</v>
      </c>
      <c r="C19" s="173">
        <v>18</v>
      </c>
      <c r="D19" s="174" cm="1">
        <f t="array" ref="D19">VLOOKUP(C19,'P01'!A1:G53,7,FALSE)</f>
        <v>0</v>
      </c>
      <c r="E19" s="103"/>
    </row>
    <row r="20" ht="16.6" customHeight="1">
      <c r="A20" t="str" s="172" cm="1">
        <f t="array" ref="A20">"P01"</f>
        <v>P01</v>
      </c>
      <c r="B20" t="s" s="129">
        <v>100</v>
      </c>
      <c r="C20" s="173">
        <v>19</v>
      </c>
      <c r="D20" s="174" cm="1">
        <f t="array" ref="D20">VLOOKUP(C20,'P01'!A1:G53,7,FALSE)</f>
        <v>0</v>
      </c>
      <c r="E20" s="103"/>
    </row>
    <row r="21" ht="16.6" customHeight="1">
      <c r="A21" t="str" s="172" cm="1">
        <f t="array" ref="A21">"P01"</f>
        <v>P01</v>
      </c>
      <c r="B21" t="s" s="129">
        <v>102</v>
      </c>
      <c r="C21" s="173">
        <v>20</v>
      </c>
      <c r="D21" s="174" cm="1">
        <f t="array" ref="D21">VLOOKUP(C21,'P01'!A1:G53,7,FALSE)</f>
        <v>0</v>
      </c>
      <c r="E21" s="103"/>
    </row>
    <row r="22" ht="16.6" customHeight="1">
      <c r="A22" t="str" s="172" cm="1">
        <f t="array" ref="A22">"P01"</f>
        <v>P01</v>
      </c>
      <c r="B22" t="s" s="129">
        <v>104</v>
      </c>
      <c r="C22" s="173">
        <v>21</v>
      </c>
      <c r="D22" s="174" cm="1">
        <f t="array" ref="D22">VLOOKUP(C22,'P01'!A1:G53,7,FALSE)</f>
        <v>0</v>
      </c>
      <c r="E22" s="103"/>
    </row>
    <row r="23" ht="16.6" customHeight="1">
      <c r="A23" t="str" s="175" cm="1">
        <f t="array" ref="A23">"P01"</f>
        <v>P01</v>
      </c>
      <c r="B23" t="s" s="129">
        <v>106</v>
      </c>
      <c r="C23" s="173">
        <v>22</v>
      </c>
      <c r="D23" s="174" cm="1">
        <f t="array" ref="D23">VLOOKUP(C23,'P01'!A1:G53,7,FALSE)</f>
        <v>0</v>
      </c>
      <c r="E23" s="103"/>
    </row>
    <row r="24" ht="16.6" customHeight="1">
      <c r="A24" t="str" s="172" cm="1">
        <f t="array" ref="A24">"P01"</f>
        <v>P01</v>
      </c>
      <c r="B24" t="s" s="129">
        <v>108</v>
      </c>
      <c r="C24" s="173">
        <v>23</v>
      </c>
      <c r="D24" s="174" cm="1">
        <f t="array" ref="D24">VLOOKUP(C24,'P01'!A1:G53,7,FALSE)</f>
        <v>0</v>
      </c>
      <c r="E24" s="103"/>
    </row>
    <row r="25" ht="16.6" customHeight="1">
      <c r="A25" t="str" s="172" cm="1">
        <f t="array" ref="A25">"P01"</f>
        <v>P01</v>
      </c>
      <c r="B25" t="s" s="129">
        <v>110</v>
      </c>
      <c r="C25" s="173">
        <v>24</v>
      </c>
      <c r="D25" s="174" cm="1">
        <f t="array" ref="D25">VLOOKUP(C25,'P01'!A1:G53,7,FALSE)</f>
        <v>0</v>
      </c>
      <c r="E25" s="103"/>
    </row>
    <row r="26" ht="16.6" customHeight="1">
      <c r="A26" t="str" s="172" cm="1">
        <f t="array" ref="A26">"P01"</f>
        <v>P01</v>
      </c>
      <c r="B26" t="s" s="129">
        <v>112</v>
      </c>
      <c r="C26" s="173">
        <v>25</v>
      </c>
      <c r="D26" s="174" cm="1">
        <f t="array" ref="D26">VLOOKUP(C26,'P01'!A1:G53,7,FALSE)</f>
        <v>0</v>
      </c>
      <c r="E26" s="103"/>
    </row>
    <row r="27" ht="16.6" customHeight="1">
      <c r="A27" t="str" s="172" cm="1">
        <f t="array" ref="A27">"P01"</f>
        <v>P01</v>
      </c>
      <c r="B27" t="s" s="129">
        <v>114</v>
      </c>
      <c r="C27" s="173">
        <v>26</v>
      </c>
      <c r="D27" s="174" cm="1">
        <f t="array" ref="D27">VLOOKUP(C27,'P01'!A1:G53,7,FALSE)</f>
        <v>0</v>
      </c>
      <c r="E27" s="103"/>
    </row>
    <row r="28" ht="16.6" customHeight="1">
      <c r="A28" t="str" s="172" cm="1">
        <f t="array" ref="A28">"P01"</f>
        <v>P01</v>
      </c>
      <c r="B28" t="s" s="129">
        <v>116</v>
      </c>
      <c r="C28" s="173">
        <v>27</v>
      </c>
      <c r="D28" s="174" cm="1">
        <f t="array" ref="D28">VLOOKUP(C28,'P01'!A1:G53,7,FALSE)</f>
        <v>0</v>
      </c>
      <c r="E28" s="103"/>
    </row>
    <row r="29" ht="16.6" customHeight="1">
      <c r="A29" t="str" s="172" cm="1">
        <f t="array" ref="A29">"P01"</f>
        <v>P01</v>
      </c>
      <c r="B29" t="s" s="129">
        <v>118</v>
      </c>
      <c r="C29" s="173">
        <v>28</v>
      </c>
      <c r="D29" s="174" cm="1">
        <f t="array" ref="D29">VLOOKUP(C29,'P01'!A1:G53,7,FALSE)</f>
        <v>0</v>
      </c>
      <c r="E29" s="103"/>
    </row>
    <row r="30" ht="16.6" customHeight="1">
      <c r="A30" t="str" s="172" cm="1">
        <f t="array" ref="A30">"P01"</f>
        <v>P01</v>
      </c>
      <c r="B30" t="s" s="129">
        <v>120</v>
      </c>
      <c r="C30" s="173">
        <v>29</v>
      </c>
      <c r="D30" s="174" cm="1">
        <f t="array" ref="D30">VLOOKUP(C30,'P01'!A1:G53,7,FALSE)</f>
        <v>0</v>
      </c>
      <c r="E30" s="103"/>
    </row>
    <row r="31" ht="16.6" customHeight="1">
      <c r="A31" t="str" s="172" cm="1">
        <f t="array" ref="A31">"P01"</f>
        <v>P01</v>
      </c>
      <c r="B31" t="s" s="129">
        <v>122</v>
      </c>
      <c r="C31" s="173">
        <v>30</v>
      </c>
      <c r="D31" s="174" cm="1">
        <f t="array" ref="D31">VLOOKUP(C31,'P01'!A1:G53,7,FALSE)</f>
        <v>0</v>
      </c>
      <c r="E31" s="103"/>
    </row>
    <row r="32" ht="16.6" customHeight="1">
      <c r="A32" t="str" s="172" cm="1">
        <f t="array" ref="A32">"P01"</f>
        <v>P01</v>
      </c>
      <c r="B32" t="s" s="129">
        <v>124</v>
      </c>
      <c r="C32" s="173">
        <v>31</v>
      </c>
      <c r="D32" s="174" cm="1">
        <f t="array" ref="D32">VLOOKUP(C32,'P01'!A1:G53,7,FALSE)</f>
        <v>0</v>
      </c>
      <c r="E32" s="103"/>
    </row>
    <row r="33" ht="16.6" customHeight="1">
      <c r="A33" t="str" s="175" cm="1">
        <f t="array" ref="A33">"P01"</f>
        <v>P01</v>
      </c>
      <c r="B33" t="s" s="129">
        <v>126</v>
      </c>
      <c r="C33" s="173">
        <v>32</v>
      </c>
      <c r="D33" s="174" cm="1">
        <f t="array" ref="D33">VLOOKUP(C33,'P01'!A1:G53,7,FALSE)</f>
        <v>0</v>
      </c>
      <c r="E33" s="103"/>
    </row>
    <row r="34" ht="16.6" customHeight="1">
      <c r="A34" t="str" s="172" cm="1">
        <f t="array" ref="A34">"P01"</f>
        <v>P01</v>
      </c>
      <c r="B34" t="s" s="129">
        <v>128</v>
      </c>
      <c r="C34" s="173">
        <v>33</v>
      </c>
      <c r="D34" s="174" cm="1">
        <f t="array" ref="D34">VLOOKUP(C34,'P01'!A1:G53,7,FALSE)</f>
        <v>0</v>
      </c>
      <c r="E34" s="103"/>
    </row>
    <row r="35" ht="16.6" customHeight="1">
      <c r="A35" t="str" s="172" cm="1">
        <f t="array" ref="A35">"P01"</f>
        <v>P01</v>
      </c>
      <c r="B35" t="s" s="129">
        <v>130</v>
      </c>
      <c r="C35" s="173">
        <v>34</v>
      </c>
      <c r="D35" s="174" cm="1">
        <f t="array" ref="D35">VLOOKUP(C35,'P01'!A1:G53,7,FALSE)</f>
        <v>0</v>
      </c>
      <c r="E35" s="103"/>
    </row>
    <row r="36" ht="16.6" customHeight="1">
      <c r="A36" t="str" s="172" cm="1">
        <f t="array" ref="A36">"P01"</f>
        <v>P01</v>
      </c>
      <c r="B36" t="s" s="129">
        <v>132</v>
      </c>
      <c r="C36" s="173">
        <v>35</v>
      </c>
      <c r="D36" s="174" cm="1">
        <f t="array" ref="D36">VLOOKUP(C36,'P01'!A1:G53,7,FALSE)</f>
        <v>0</v>
      </c>
      <c r="E36" s="103"/>
    </row>
    <row r="37" ht="16.6" customHeight="1">
      <c r="A37" t="str" s="172" cm="1">
        <f t="array" ref="A37">"P01"</f>
        <v>P01</v>
      </c>
      <c r="B37" t="s" s="129">
        <v>134</v>
      </c>
      <c r="C37" s="173">
        <v>36</v>
      </c>
      <c r="D37" s="174" cm="1">
        <f t="array" ref="D37">VLOOKUP(C37,'P01'!A1:G53,7,FALSE)</f>
        <v>0</v>
      </c>
      <c r="E37" s="103"/>
    </row>
    <row r="38" ht="16.6" customHeight="1">
      <c r="A38" t="str" s="172" cm="1">
        <f t="array" ref="A38">"P01"</f>
        <v>P01</v>
      </c>
      <c r="B38" t="s" s="129">
        <v>136</v>
      </c>
      <c r="C38" s="173">
        <v>37</v>
      </c>
      <c r="D38" s="174" cm="1">
        <f t="array" ref="D38">VLOOKUP(C38,'P01'!A1:G53,7,FALSE)</f>
        <v>0</v>
      </c>
      <c r="E38" s="103"/>
    </row>
    <row r="39" ht="16.6" customHeight="1">
      <c r="A39" t="str" s="172" cm="1">
        <f t="array" ref="A39">"P01"</f>
        <v>P01</v>
      </c>
      <c r="B39" t="s" s="129">
        <v>138</v>
      </c>
      <c r="C39" s="173">
        <v>38</v>
      </c>
      <c r="D39" s="174" cm="1">
        <f t="array" ref="D39">VLOOKUP(C39,'P01'!A1:G53,7,FALSE)</f>
        <v>0</v>
      </c>
      <c r="E39" s="103"/>
    </row>
    <row r="40" ht="16.6" customHeight="1">
      <c r="A40" t="str" s="172" cm="1">
        <f t="array" ref="A40">"P01"</f>
        <v>P01</v>
      </c>
      <c r="B40" t="s" s="129">
        <v>140</v>
      </c>
      <c r="C40" s="173">
        <v>39</v>
      </c>
      <c r="D40" s="174" cm="1">
        <f t="array" ref="D40">VLOOKUP(C40,'P01'!A1:G53,7,FALSE)</f>
        <v>0</v>
      </c>
      <c r="E40" s="103"/>
    </row>
    <row r="41" ht="16.6" customHeight="1">
      <c r="A41" t="str" s="172" cm="1">
        <f t="array" ref="A41">"P01"</f>
        <v>P01</v>
      </c>
      <c r="B41" t="s" s="129">
        <v>142</v>
      </c>
      <c r="C41" s="173">
        <v>40</v>
      </c>
      <c r="D41" s="174" cm="1">
        <f t="array" ref="D41">VLOOKUP(C41,'P01'!A1:G53,7,FALSE)</f>
        <v>0</v>
      </c>
      <c r="E41" s="103"/>
    </row>
    <row r="42" ht="16.6" customHeight="1">
      <c r="A42" t="str" s="172" cm="1">
        <f t="array" ref="A42">"P01"</f>
        <v>P01</v>
      </c>
      <c r="B42" t="s" s="129">
        <v>144</v>
      </c>
      <c r="C42" s="173">
        <v>41</v>
      </c>
      <c r="D42" s="174" cm="1">
        <f t="array" ref="D42">VLOOKUP(C42,'P01'!A1:G53,7,FALSE)</f>
        <v>0</v>
      </c>
      <c r="E42" s="103"/>
    </row>
    <row r="43" ht="16.6" customHeight="1">
      <c r="A43" t="str" s="172" cm="1">
        <f t="array" ref="A43">"P01"</f>
        <v>P01</v>
      </c>
      <c r="B43" t="s" s="129">
        <v>146</v>
      </c>
      <c r="C43" s="173">
        <v>42</v>
      </c>
      <c r="D43" s="174" cm="1">
        <f t="array" ref="D43">VLOOKUP(C43,'P01'!A1:G53,7,FALSE)</f>
        <v>0</v>
      </c>
      <c r="E43" s="103"/>
    </row>
    <row r="44" ht="16.6" customHeight="1">
      <c r="A44" t="str" s="172" cm="1">
        <f t="array" ref="A44">"P01"</f>
        <v>P01</v>
      </c>
      <c r="B44" t="s" s="129">
        <v>148</v>
      </c>
      <c r="C44" s="173">
        <v>43</v>
      </c>
      <c r="D44" s="174" cm="1">
        <f t="array" ref="D44">VLOOKUP(C44,'P01'!A1:G53,7,FALSE)</f>
        <v>0</v>
      </c>
      <c r="E44" s="103"/>
    </row>
    <row r="45" ht="16.6" customHeight="1">
      <c r="A45" t="str" s="172" cm="1">
        <f t="array" ref="A45">"P01"</f>
        <v>P01</v>
      </c>
      <c r="B45" t="s" s="129">
        <v>150</v>
      </c>
      <c r="C45" s="173">
        <v>44</v>
      </c>
      <c r="D45" s="174" cm="1">
        <f t="array" ref="D45">VLOOKUP(C45,'P01'!A1:G53,7,FALSE)</f>
        <v>0</v>
      </c>
      <c r="E45" s="103"/>
    </row>
    <row r="46" ht="16.6" customHeight="1">
      <c r="A46" t="str" s="172" cm="1">
        <f t="array" ref="A46">"P01"</f>
        <v>P01</v>
      </c>
      <c r="B46" t="s" s="129">
        <v>152</v>
      </c>
      <c r="C46" s="173">
        <v>45</v>
      </c>
      <c r="D46" s="174" cm="1">
        <f t="array" ref="D46">VLOOKUP(C46,'P01'!A1:G53,7,FALSE)</f>
        <v>0</v>
      </c>
      <c r="E46" s="103"/>
    </row>
    <row r="47" ht="16.6" customHeight="1">
      <c r="A47" t="str" s="172" cm="1">
        <f t="array" ref="A47">"P01"</f>
        <v>P01</v>
      </c>
      <c r="B47" t="s" s="129">
        <v>154</v>
      </c>
      <c r="C47" s="173">
        <v>46</v>
      </c>
      <c r="D47" s="174" cm="1">
        <f t="array" ref="D47">VLOOKUP(C47,'P01'!A1:G53,7,FALSE)</f>
        <v>0</v>
      </c>
      <c r="E47" s="103"/>
    </row>
    <row r="48" ht="16.6" customHeight="1">
      <c r="A48" t="str" s="172" cm="1">
        <f t="array" ref="A48">"P01"</f>
        <v>P01</v>
      </c>
      <c r="B48" t="s" s="129">
        <v>156</v>
      </c>
      <c r="C48" s="173">
        <v>47</v>
      </c>
      <c r="D48" s="174" cm="1">
        <f t="array" ref="D48">VLOOKUP(C48,'P01'!A1:G53,7,FALSE)</f>
        <v>0</v>
      </c>
      <c r="E48" s="103"/>
    </row>
    <row r="49" ht="16.6" customHeight="1">
      <c r="A49" t="str" s="172" cm="1">
        <f t="array" ref="A49">"P01"</f>
        <v>P01</v>
      </c>
      <c r="B49" t="s" s="129">
        <v>158</v>
      </c>
      <c r="C49" s="173">
        <v>48</v>
      </c>
      <c r="D49" s="174" cm="1">
        <f t="array" ref="D49">VLOOKUP(C49,'P01'!A1:G53,7,FALSE)</f>
        <v>0</v>
      </c>
      <c r="E49" s="103"/>
    </row>
    <row r="50" ht="16.6" customHeight="1">
      <c r="A50" t="str" s="172" cm="1">
        <f t="array" ref="A50">"P01"</f>
        <v>P01</v>
      </c>
      <c r="B50" t="s" s="129">
        <v>160</v>
      </c>
      <c r="C50" s="173">
        <v>49</v>
      </c>
      <c r="D50" s="174" cm="1">
        <f t="array" ref="D50">VLOOKUP(C50,'P01'!A1:G53,7,FALSE)</f>
        <v>0</v>
      </c>
      <c r="E50" s="103"/>
    </row>
    <row r="51" ht="16.6" customHeight="1">
      <c r="A51" t="str" s="172" cm="1">
        <f t="array" ref="A51">"P01"</f>
        <v>P01</v>
      </c>
      <c r="B51" t="s" s="129">
        <v>162</v>
      </c>
      <c r="C51" s="173">
        <v>50</v>
      </c>
      <c r="D51" s="174" cm="1">
        <f t="array" ref="D51">VLOOKUP(C51,'P01'!A1:G53,7,FALSE)</f>
        <v>0</v>
      </c>
      <c r="E51" s="103"/>
    </row>
    <row r="52" ht="16.6" customHeight="1">
      <c r="A52" t="str" s="172" cm="1">
        <f t="array" ref="A52">"P01"</f>
        <v>P01</v>
      </c>
      <c r="B52" t="s" s="129">
        <v>164</v>
      </c>
      <c r="C52" s="173">
        <v>51</v>
      </c>
      <c r="D52" s="174" cm="1">
        <f t="array" ref="D52">VLOOKUP(C52,'P01'!A1:G53,7,FALSE)</f>
        <v>0</v>
      </c>
      <c r="E52" s="103"/>
    </row>
    <row r="53" ht="16.6" customHeight="1">
      <c r="A53" t="str" s="172" cm="1">
        <f t="array" ref="A53">"P01"</f>
        <v>P01</v>
      </c>
      <c r="B53" t="s" s="129">
        <v>166</v>
      </c>
      <c r="C53" s="173">
        <v>52</v>
      </c>
      <c r="D53" s="174" cm="1">
        <f t="array" ref="D53">VLOOKUP(C53,'P01'!A1:G53,7,FALSE)</f>
        <v>0</v>
      </c>
      <c r="E53" s="103"/>
    </row>
    <row r="54" ht="16.6" customHeight="1">
      <c r="A54" t="str" s="172" cm="1">
        <f t="array" ref="A54">"P02"</f>
        <v>P02</v>
      </c>
      <c r="B54" t="s" s="129">
        <v>65</v>
      </c>
      <c r="C54" s="173">
        <v>1</v>
      </c>
      <c r="D54" s="174" cm="1">
        <f t="array" ref="D54">VLOOKUP(C54,'P02'!A1:G53,7,FALSE)</f>
        <v>0</v>
      </c>
      <c r="E54" s="103"/>
    </row>
    <row r="55" ht="16.6" customHeight="1">
      <c r="A55" t="str" s="172" cm="1">
        <f t="array" ref="A55">"P02"</f>
        <v>P02</v>
      </c>
      <c r="B55" t="s" s="129">
        <v>67</v>
      </c>
      <c r="C55" s="173">
        <v>2</v>
      </c>
      <c r="D55" s="174" cm="1">
        <f t="array" ref="D55">VLOOKUP(C55,'P02'!A1:G53,7,FALSE)</f>
        <v>0</v>
      </c>
      <c r="E55" s="103"/>
    </row>
    <row r="56" ht="16.6" customHeight="1">
      <c r="A56" t="str" s="172" cm="1">
        <f t="array" ref="A56">"P02"</f>
        <v>P02</v>
      </c>
      <c r="B56" t="s" s="129">
        <v>69</v>
      </c>
      <c r="C56" s="173">
        <v>3</v>
      </c>
      <c r="D56" s="174" cm="1">
        <f t="array" ref="D56">VLOOKUP(C56,'P02'!A1:G53,7,FALSE)</f>
        <v>0</v>
      </c>
      <c r="E56" s="103"/>
    </row>
    <row r="57" ht="16.6" customHeight="1">
      <c r="A57" t="str" s="172" cm="1">
        <f t="array" ref="A57">"P02"</f>
        <v>P02</v>
      </c>
      <c r="B57" t="s" s="129">
        <v>71</v>
      </c>
      <c r="C57" s="173">
        <v>4</v>
      </c>
      <c r="D57" s="174" cm="1">
        <f t="array" ref="D57">VLOOKUP(C57,'P02'!A1:G53,7,FALSE)</f>
        <v>0</v>
      </c>
      <c r="E57" s="103"/>
    </row>
    <row r="58" ht="16.6" customHeight="1">
      <c r="A58" t="str" s="172" cm="1">
        <f t="array" ref="A58">"P02"</f>
        <v>P02</v>
      </c>
      <c r="B58" t="s" s="129">
        <v>73</v>
      </c>
      <c r="C58" s="173">
        <v>5</v>
      </c>
      <c r="D58" s="174" cm="1">
        <f t="array" ref="D58">VLOOKUP(C58,'P02'!A1:G53,7,FALSE)</f>
        <v>0</v>
      </c>
      <c r="E58" s="103"/>
    </row>
    <row r="59" ht="16.6" customHeight="1">
      <c r="A59" t="str" s="172" cm="1">
        <f t="array" ref="A59">"P02"</f>
        <v>P02</v>
      </c>
      <c r="B59" t="s" s="129">
        <v>75</v>
      </c>
      <c r="C59" s="173">
        <v>6</v>
      </c>
      <c r="D59" s="174" cm="1">
        <f t="array" ref="D59">VLOOKUP(C59,'P02'!A1:G53,7,FALSE)</f>
        <v>0</v>
      </c>
      <c r="E59" s="103"/>
    </row>
    <row r="60" ht="16.6" customHeight="1">
      <c r="A60" t="str" s="172" cm="1">
        <f t="array" ref="A60">"P02"</f>
        <v>P02</v>
      </c>
      <c r="B60" t="s" s="129">
        <v>77</v>
      </c>
      <c r="C60" s="173">
        <v>7</v>
      </c>
      <c r="D60" s="174" cm="1">
        <f t="array" ref="D60">VLOOKUP(C60,'P02'!A1:G53,7,FALSE)</f>
        <v>0</v>
      </c>
      <c r="E60" s="103"/>
    </row>
    <row r="61" ht="16.6" customHeight="1">
      <c r="A61" t="str" s="172" cm="1">
        <f t="array" ref="A61">"P02"</f>
        <v>P02</v>
      </c>
      <c r="B61" s="142">
        <v>2.1</v>
      </c>
      <c r="C61" s="173">
        <v>8</v>
      </c>
      <c r="D61" s="174" cm="1">
        <f t="array" ref="D61">VLOOKUP(C61,'P02'!A1:G53,7,FALSE)</f>
        <v>0</v>
      </c>
      <c r="E61" s="103"/>
    </row>
    <row r="62" ht="16.6" customHeight="1">
      <c r="A62" t="str" s="172" cm="1">
        <f t="array" ref="A62">"P02"</f>
        <v>P02</v>
      </c>
      <c r="B62" t="s" s="129">
        <v>80</v>
      </c>
      <c r="C62" s="173">
        <v>9</v>
      </c>
      <c r="D62" s="174" cm="1">
        <f t="array" ref="D62">VLOOKUP(C62,'P02'!A1:G53,7,FALSE)</f>
        <v>0</v>
      </c>
      <c r="E62" s="103"/>
    </row>
    <row r="63" ht="16.6" customHeight="1">
      <c r="A63" t="str" s="172" cm="1">
        <f t="array" ref="A63">"P02"</f>
        <v>P02</v>
      </c>
      <c r="B63" t="s" s="129">
        <v>82</v>
      </c>
      <c r="C63" s="173">
        <v>10</v>
      </c>
      <c r="D63" s="174" cm="1">
        <f t="array" ref="D63">VLOOKUP(C63,'P02'!A1:G53,7,FALSE)</f>
        <v>0</v>
      </c>
      <c r="E63" s="103"/>
    </row>
    <row r="64" ht="16.6" customHeight="1">
      <c r="A64" t="str" s="172" cm="1">
        <f t="array" ref="A64">"P02"</f>
        <v>P02</v>
      </c>
      <c r="B64" t="s" s="129">
        <v>84</v>
      </c>
      <c r="C64" s="173">
        <v>11</v>
      </c>
      <c r="D64" s="174" cm="1">
        <f t="array" ref="D64">VLOOKUP(C64,'P02'!A1:G53,7,FALSE)</f>
        <v>0</v>
      </c>
      <c r="E64" s="103"/>
    </row>
    <row r="65" ht="16.6" customHeight="1">
      <c r="A65" t="str" s="172" cm="1">
        <f t="array" ref="A65">"P02"</f>
        <v>P02</v>
      </c>
      <c r="B65" t="s" s="129">
        <v>86</v>
      </c>
      <c r="C65" s="173">
        <v>12</v>
      </c>
      <c r="D65" s="174" cm="1">
        <f t="array" ref="D65">VLOOKUP(C65,'P02'!A1:G53,7,FALSE)</f>
        <v>0</v>
      </c>
      <c r="E65" s="103"/>
    </row>
    <row r="66" ht="16.6" customHeight="1">
      <c r="A66" t="str" s="172" cm="1">
        <f t="array" ref="A66">"P02"</f>
        <v>P02</v>
      </c>
      <c r="B66" t="s" s="129">
        <v>88</v>
      </c>
      <c r="C66" s="173">
        <v>13</v>
      </c>
      <c r="D66" s="174" cm="1">
        <f t="array" ref="D66">VLOOKUP(C66,'P02'!A1:G53,7,FALSE)</f>
        <v>0</v>
      </c>
      <c r="E66" s="103"/>
    </row>
    <row r="67" ht="16.6" customHeight="1">
      <c r="A67" t="str" s="172" cm="1">
        <f t="array" ref="A67">"P02"</f>
        <v>P02</v>
      </c>
      <c r="B67" t="s" s="129">
        <v>90</v>
      </c>
      <c r="C67" s="173">
        <v>14</v>
      </c>
      <c r="D67" s="174" cm="1">
        <f t="array" ref="D67">VLOOKUP(C67,'P02'!A1:G53,7,FALSE)</f>
        <v>0</v>
      </c>
      <c r="E67" s="103"/>
    </row>
    <row r="68" ht="16.6" customHeight="1">
      <c r="A68" t="str" s="172" cm="1">
        <f t="array" ref="A68">"P02"</f>
        <v>P02</v>
      </c>
      <c r="B68" t="s" s="129">
        <v>92</v>
      </c>
      <c r="C68" s="173">
        <v>15</v>
      </c>
      <c r="D68" s="174" cm="1">
        <f t="array" ref="D68">VLOOKUP(C68,'P02'!A1:G53,7,FALSE)</f>
        <v>0</v>
      </c>
      <c r="E68" s="103"/>
    </row>
    <row r="69" ht="16.6" customHeight="1">
      <c r="A69" t="str" s="172" cm="1">
        <f t="array" ref="A69">"P02"</f>
        <v>P02</v>
      </c>
      <c r="B69" t="s" s="129">
        <v>94</v>
      </c>
      <c r="C69" s="173">
        <v>16</v>
      </c>
      <c r="D69" s="174" cm="1">
        <f t="array" ref="D69">VLOOKUP(C69,'P02'!A1:G53,7,FALSE)</f>
        <v>0</v>
      </c>
      <c r="E69" s="103"/>
    </row>
    <row r="70" ht="16.6" customHeight="1">
      <c r="A70" t="str" s="172" cm="1">
        <f t="array" ref="A70">"P02"</f>
        <v>P02</v>
      </c>
      <c r="B70" t="s" s="129">
        <v>96</v>
      </c>
      <c r="C70" s="173">
        <v>17</v>
      </c>
      <c r="D70" s="174" cm="1">
        <f t="array" ref="D70">VLOOKUP(C70,'P02'!A1:G53,7,FALSE)</f>
        <v>0</v>
      </c>
      <c r="E70" s="103"/>
    </row>
    <row r="71" ht="16.6" customHeight="1">
      <c r="A71" t="str" s="172" cm="1">
        <f t="array" ref="A71">"P02"</f>
        <v>P02</v>
      </c>
      <c r="B71" t="s" s="129">
        <v>98</v>
      </c>
      <c r="C71" s="173">
        <v>18</v>
      </c>
      <c r="D71" s="174" cm="1">
        <f t="array" ref="D71">VLOOKUP(C71,'P02'!A1:G53,7,FALSE)</f>
        <v>0</v>
      </c>
      <c r="E71" s="103"/>
    </row>
    <row r="72" ht="16.6" customHeight="1">
      <c r="A72" t="str" s="172" cm="1">
        <f t="array" ref="A72">"P02"</f>
        <v>P02</v>
      </c>
      <c r="B72" t="s" s="129">
        <v>100</v>
      </c>
      <c r="C72" s="173">
        <v>19</v>
      </c>
      <c r="D72" s="174" cm="1">
        <f t="array" ref="D72">VLOOKUP(C72,'P02'!A1:G53,7,FALSE)</f>
        <v>0</v>
      </c>
      <c r="E72" s="103"/>
    </row>
    <row r="73" ht="16.6" customHeight="1">
      <c r="A73" t="str" s="172" cm="1">
        <f t="array" ref="A73">"P02"</f>
        <v>P02</v>
      </c>
      <c r="B73" t="s" s="129">
        <v>102</v>
      </c>
      <c r="C73" s="173">
        <v>20</v>
      </c>
      <c r="D73" s="174" cm="1">
        <f t="array" ref="D73">VLOOKUP(C73,'P02'!A1:G53,7,FALSE)</f>
        <v>0</v>
      </c>
      <c r="E73" s="103"/>
    </row>
    <row r="74" ht="16.6" customHeight="1">
      <c r="A74" t="str" s="172" cm="1">
        <f t="array" ref="A74">"P02"</f>
        <v>P02</v>
      </c>
      <c r="B74" t="s" s="129">
        <v>104</v>
      </c>
      <c r="C74" s="173">
        <v>21</v>
      </c>
      <c r="D74" s="174" cm="1">
        <f t="array" ref="D74">VLOOKUP(C74,'P02'!A1:G53,7,FALSE)</f>
        <v>0</v>
      </c>
      <c r="E74" s="103"/>
    </row>
    <row r="75" ht="16.6" customHeight="1">
      <c r="A75" t="str" s="172" cm="1">
        <f t="array" ref="A75">"P02"</f>
        <v>P02</v>
      </c>
      <c r="B75" t="s" s="129">
        <v>106</v>
      </c>
      <c r="C75" s="173">
        <v>22</v>
      </c>
      <c r="D75" s="174" cm="1">
        <f t="array" ref="D75">VLOOKUP(C75,'P02'!A1:G53,7,FALSE)</f>
        <v>0</v>
      </c>
      <c r="E75" s="103"/>
    </row>
    <row r="76" ht="16.6" customHeight="1">
      <c r="A76" t="str" s="172" cm="1">
        <f t="array" ref="A76">"P02"</f>
        <v>P02</v>
      </c>
      <c r="B76" t="s" s="129">
        <v>108</v>
      </c>
      <c r="C76" s="173">
        <v>23</v>
      </c>
      <c r="D76" s="174" cm="1">
        <f t="array" ref="D76">VLOOKUP(C76,'P02'!A1:G53,7,FALSE)</f>
        <v>0</v>
      </c>
      <c r="E76" s="103"/>
    </row>
    <row r="77" ht="16.6" customHeight="1">
      <c r="A77" t="str" s="172" cm="1">
        <f t="array" ref="A77">"P02"</f>
        <v>P02</v>
      </c>
      <c r="B77" t="s" s="129">
        <v>110</v>
      </c>
      <c r="C77" s="173">
        <v>24</v>
      </c>
      <c r="D77" s="174" cm="1">
        <f t="array" ref="D77">VLOOKUP(C77,'P02'!A1:G53,7,FALSE)</f>
        <v>0</v>
      </c>
      <c r="E77" s="103"/>
    </row>
    <row r="78" ht="16.6" customHeight="1">
      <c r="A78" t="str" s="172" cm="1">
        <f t="array" ref="A78">"P02"</f>
        <v>P02</v>
      </c>
      <c r="B78" t="s" s="129">
        <v>112</v>
      </c>
      <c r="C78" s="173">
        <v>25</v>
      </c>
      <c r="D78" s="174" cm="1">
        <f t="array" ref="D78">VLOOKUP(C78,'P02'!A1:G53,7,FALSE)</f>
        <v>0</v>
      </c>
      <c r="E78" s="103"/>
    </row>
    <row r="79" ht="16.6" customHeight="1">
      <c r="A79" t="str" s="172" cm="1">
        <f t="array" ref="A79">"P02"</f>
        <v>P02</v>
      </c>
      <c r="B79" t="s" s="129">
        <v>114</v>
      </c>
      <c r="C79" s="173">
        <v>26</v>
      </c>
      <c r="D79" s="174" cm="1">
        <f t="array" ref="D79">VLOOKUP(C79,'P02'!A1:G53,7,FALSE)</f>
        <v>0</v>
      </c>
      <c r="E79" s="103"/>
    </row>
    <row r="80" ht="16.6" customHeight="1">
      <c r="A80" t="str" s="172" cm="1">
        <f t="array" ref="A80">"P02"</f>
        <v>P02</v>
      </c>
      <c r="B80" t="s" s="129">
        <v>116</v>
      </c>
      <c r="C80" s="173">
        <v>27</v>
      </c>
      <c r="D80" s="174" cm="1">
        <f t="array" ref="D80">VLOOKUP(C80,'P02'!A1:G53,7,FALSE)</f>
        <v>0</v>
      </c>
      <c r="E80" s="103"/>
    </row>
    <row r="81" ht="16.6" customHeight="1">
      <c r="A81" t="str" s="172" cm="1">
        <f t="array" ref="A81">"P02"</f>
        <v>P02</v>
      </c>
      <c r="B81" t="s" s="129">
        <v>118</v>
      </c>
      <c r="C81" s="173">
        <v>28</v>
      </c>
      <c r="D81" s="174" cm="1">
        <f t="array" ref="D81">VLOOKUP(C81,'P02'!A1:G53,7,FALSE)</f>
        <v>0</v>
      </c>
      <c r="E81" s="103"/>
    </row>
    <row r="82" ht="16.6" customHeight="1">
      <c r="A82" t="str" s="172" cm="1">
        <f t="array" ref="A82">"P02"</f>
        <v>P02</v>
      </c>
      <c r="B82" t="s" s="129">
        <v>120</v>
      </c>
      <c r="C82" s="173">
        <v>29</v>
      </c>
      <c r="D82" s="174" cm="1">
        <f t="array" ref="D82">VLOOKUP(C82,'P02'!A1:G53,7,FALSE)</f>
        <v>0</v>
      </c>
      <c r="E82" s="103"/>
    </row>
    <row r="83" ht="16.6" customHeight="1">
      <c r="A83" t="str" s="172" cm="1">
        <f t="array" ref="A83">"P02"</f>
        <v>P02</v>
      </c>
      <c r="B83" t="s" s="129">
        <v>122</v>
      </c>
      <c r="C83" s="173">
        <v>30</v>
      </c>
      <c r="D83" s="174" cm="1">
        <f t="array" ref="D83">VLOOKUP(C83,'P02'!A1:G53,7,FALSE)</f>
        <v>0</v>
      </c>
      <c r="E83" s="103"/>
    </row>
    <row r="84" ht="16.6" customHeight="1">
      <c r="A84" t="str" s="172" cm="1">
        <f t="array" ref="A84">"P02"</f>
        <v>P02</v>
      </c>
      <c r="B84" t="s" s="129">
        <v>124</v>
      </c>
      <c r="C84" s="173">
        <v>31</v>
      </c>
      <c r="D84" s="174" cm="1">
        <f t="array" ref="D84">VLOOKUP(C84,'P02'!A1:G53,7,FALSE)</f>
        <v>0</v>
      </c>
      <c r="E84" s="103"/>
    </row>
    <row r="85" ht="16.6" customHeight="1">
      <c r="A85" t="str" s="172" cm="1">
        <f t="array" ref="A85">"P02"</f>
        <v>P02</v>
      </c>
      <c r="B85" t="s" s="129">
        <v>126</v>
      </c>
      <c r="C85" s="173">
        <v>32</v>
      </c>
      <c r="D85" s="174" cm="1">
        <f t="array" ref="D85">VLOOKUP(C85,'P02'!A1:G53,7,FALSE)</f>
        <v>0</v>
      </c>
      <c r="E85" s="103"/>
    </row>
    <row r="86" ht="16.6" customHeight="1">
      <c r="A86" t="str" s="172" cm="1">
        <f t="array" ref="A86">"P02"</f>
        <v>P02</v>
      </c>
      <c r="B86" t="s" s="129">
        <v>128</v>
      </c>
      <c r="C86" s="173">
        <v>33</v>
      </c>
      <c r="D86" s="174" cm="1">
        <f t="array" ref="D86">VLOOKUP(C86,'P02'!A1:G53,7,FALSE)</f>
        <v>0</v>
      </c>
      <c r="E86" s="103"/>
    </row>
    <row r="87" ht="16.6" customHeight="1">
      <c r="A87" t="str" s="172" cm="1">
        <f t="array" ref="A87">"P02"</f>
        <v>P02</v>
      </c>
      <c r="B87" t="s" s="129">
        <v>130</v>
      </c>
      <c r="C87" s="173">
        <v>34</v>
      </c>
      <c r="D87" s="174" cm="1">
        <f t="array" ref="D87">VLOOKUP(C87,'P02'!A1:G53,7,FALSE)</f>
        <v>0</v>
      </c>
      <c r="E87" s="103"/>
    </row>
    <row r="88" ht="16.6" customHeight="1">
      <c r="A88" t="str" s="172" cm="1">
        <f t="array" ref="A88">"P02"</f>
        <v>P02</v>
      </c>
      <c r="B88" t="s" s="129">
        <v>132</v>
      </c>
      <c r="C88" s="173">
        <v>35</v>
      </c>
      <c r="D88" s="174" cm="1">
        <f t="array" ref="D88">VLOOKUP(C88,'P02'!A1:G53,7,FALSE)</f>
        <v>0</v>
      </c>
      <c r="E88" s="103"/>
    </row>
    <row r="89" ht="16.6" customHeight="1">
      <c r="A89" t="str" s="172" cm="1">
        <f t="array" ref="A89">"P02"</f>
        <v>P02</v>
      </c>
      <c r="B89" t="s" s="129">
        <v>134</v>
      </c>
      <c r="C89" s="173">
        <v>36</v>
      </c>
      <c r="D89" s="174" cm="1">
        <f t="array" ref="D89">VLOOKUP(C89,'P02'!A1:G53,7,FALSE)</f>
        <v>0</v>
      </c>
      <c r="E89" s="103"/>
    </row>
    <row r="90" ht="16.6" customHeight="1">
      <c r="A90" t="str" s="172" cm="1">
        <f t="array" ref="A90">"P02"</f>
        <v>P02</v>
      </c>
      <c r="B90" t="s" s="129">
        <v>136</v>
      </c>
      <c r="C90" s="173">
        <v>37</v>
      </c>
      <c r="D90" s="174" cm="1">
        <f t="array" ref="D90">VLOOKUP(C90,'P02'!A1:G53,7,FALSE)</f>
        <v>0</v>
      </c>
      <c r="E90" s="103"/>
    </row>
    <row r="91" ht="16.6" customHeight="1">
      <c r="A91" t="str" s="172" cm="1">
        <f t="array" ref="A91">"P02"</f>
        <v>P02</v>
      </c>
      <c r="B91" t="s" s="129">
        <v>138</v>
      </c>
      <c r="C91" s="173">
        <v>38</v>
      </c>
      <c r="D91" s="174" cm="1">
        <f t="array" ref="D91">VLOOKUP(C91,'P02'!A1:G53,7,FALSE)</f>
        <v>0</v>
      </c>
      <c r="E91" s="103"/>
    </row>
    <row r="92" ht="16.6" customHeight="1">
      <c r="A92" t="str" s="172" cm="1">
        <f t="array" ref="A92">"P02"</f>
        <v>P02</v>
      </c>
      <c r="B92" t="s" s="129">
        <v>140</v>
      </c>
      <c r="C92" s="173">
        <v>39</v>
      </c>
      <c r="D92" s="174" cm="1">
        <f t="array" ref="D92">VLOOKUP(C92,'P02'!A1:G53,7,FALSE)</f>
        <v>0</v>
      </c>
      <c r="E92" s="103"/>
    </row>
    <row r="93" ht="16.6" customHeight="1">
      <c r="A93" t="str" s="172" cm="1">
        <f t="array" ref="A93">"P02"</f>
        <v>P02</v>
      </c>
      <c r="B93" t="s" s="129">
        <v>142</v>
      </c>
      <c r="C93" s="173">
        <v>40</v>
      </c>
      <c r="D93" s="174" cm="1">
        <f t="array" ref="D93">VLOOKUP(C93,'P02'!A1:G53,7,FALSE)</f>
        <v>0</v>
      </c>
      <c r="E93" s="103"/>
    </row>
    <row r="94" ht="16.6" customHeight="1">
      <c r="A94" t="str" s="172" cm="1">
        <f t="array" ref="A94">"P02"</f>
        <v>P02</v>
      </c>
      <c r="B94" t="s" s="129">
        <v>144</v>
      </c>
      <c r="C94" s="173">
        <v>41</v>
      </c>
      <c r="D94" s="174" cm="1">
        <f t="array" ref="D94">VLOOKUP(C94,'P02'!A1:G53,7,FALSE)</f>
        <v>0</v>
      </c>
      <c r="E94" s="103"/>
    </row>
    <row r="95" ht="16.6" customHeight="1">
      <c r="A95" t="str" s="172" cm="1">
        <f t="array" ref="A95">"P02"</f>
        <v>P02</v>
      </c>
      <c r="B95" t="s" s="129">
        <v>146</v>
      </c>
      <c r="C95" s="173">
        <v>42</v>
      </c>
      <c r="D95" s="174" cm="1">
        <f t="array" ref="D95">VLOOKUP(C95,'P02'!A1:G53,7,FALSE)</f>
        <v>0</v>
      </c>
      <c r="E95" s="103"/>
    </row>
    <row r="96" ht="16.6" customHeight="1">
      <c r="A96" t="str" s="172" cm="1">
        <f t="array" ref="A96">"P02"</f>
        <v>P02</v>
      </c>
      <c r="B96" t="s" s="129">
        <v>148</v>
      </c>
      <c r="C96" s="173">
        <v>43</v>
      </c>
      <c r="D96" s="174" cm="1">
        <f t="array" ref="D96">VLOOKUP(C96,'P02'!A1:G53,7,FALSE)</f>
        <v>0</v>
      </c>
      <c r="E96" s="103"/>
    </row>
    <row r="97" ht="16.6" customHeight="1">
      <c r="A97" t="str" s="172" cm="1">
        <f t="array" ref="A97">"P02"</f>
        <v>P02</v>
      </c>
      <c r="B97" t="s" s="129">
        <v>150</v>
      </c>
      <c r="C97" s="173">
        <v>44</v>
      </c>
      <c r="D97" s="174" cm="1">
        <f t="array" ref="D97">VLOOKUP(C97,'P02'!A1:G53,7,FALSE)</f>
        <v>0</v>
      </c>
      <c r="E97" s="103"/>
    </row>
    <row r="98" ht="16.6" customHeight="1">
      <c r="A98" t="str" s="172" cm="1">
        <f t="array" ref="A98">"P02"</f>
        <v>P02</v>
      </c>
      <c r="B98" t="s" s="129">
        <v>152</v>
      </c>
      <c r="C98" s="173">
        <v>45</v>
      </c>
      <c r="D98" s="174" cm="1">
        <f t="array" ref="D98">VLOOKUP(C98,'P02'!A1:G53,7,FALSE)</f>
        <v>0</v>
      </c>
      <c r="E98" s="103"/>
    </row>
    <row r="99" ht="16.6" customHeight="1">
      <c r="A99" t="str" s="172" cm="1">
        <f t="array" ref="A99">"P02"</f>
        <v>P02</v>
      </c>
      <c r="B99" t="s" s="129">
        <v>154</v>
      </c>
      <c r="C99" s="173">
        <v>46</v>
      </c>
      <c r="D99" s="174" cm="1">
        <f t="array" ref="D99">VLOOKUP(C99,'P02'!A1:G53,7,FALSE)</f>
        <v>0</v>
      </c>
      <c r="E99" s="103"/>
    </row>
    <row r="100" ht="16.6" customHeight="1">
      <c r="A100" t="str" s="172" cm="1">
        <f t="array" ref="A100">"P02"</f>
        <v>P02</v>
      </c>
      <c r="B100" t="s" s="129">
        <v>156</v>
      </c>
      <c r="C100" s="173">
        <v>47</v>
      </c>
      <c r="D100" s="174" cm="1">
        <f t="array" ref="D100">VLOOKUP(C100,'P02'!A1:G53,7,FALSE)</f>
        <v>0</v>
      </c>
      <c r="E100" s="103"/>
    </row>
    <row r="101" ht="16.6" customHeight="1">
      <c r="A101" t="str" s="172" cm="1">
        <f t="array" ref="A101">"P02"</f>
        <v>P02</v>
      </c>
      <c r="B101" t="s" s="129">
        <v>158</v>
      </c>
      <c r="C101" s="173">
        <v>48</v>
      </c>
      <c r="D101" s="174" cm="1">
        <f t="array" ref="D101">VLOOKUP(C101,'P02'!A1:G53,7,FALSE)</f>
        <v>0</v>
      </c>
      <c r="E101" s="103"/>
    </row>
    <row r="102" ht="16.6" customHeight="1">
      <c r="A102" t="str" s="172" cm="1">
        <f t="array" ref="A102">"P02"</f>
        <v>P02</v>
      </c>
      <c r="B102" t="s" s="129">
        <v>160</v>
      </c>
      <c r="C102" s="173">
        <v>49</v>
      </c>
      <c r="D102" s="174" cm="1">
        <f t="array" ref="D102">VLOOKUP(C102,'P02'!A1:G53,7,FALSE)</f>
        <v>0</v>
      </c>
      <c r="E102" s="103"/>
    </row>
    <row r="103" ht="16.6" customHeight="1">
      <c r="A103" t="str" s="172" cm="1">
        <f t="array" ref="A103">"P02"</f>
        <v>P02</v>
      </c>
      <c r="B103" t="s" s="129">
        <v>162</v>
      </c>
      <c r="C103" s="173">
        <v>50</v>
      </c>
      <c r="D103" s="174" cm="1">
        <f t="array" ref="D103">VLOOKUP(C103,'P02'!A1:G53,7,FALSE)</f>
        <v>0</v>
      </c>
      <c r="E103" s="103"/>
    </row>
    <row r="104" ht="16.6" customHeight="1">
      <c r="A104" t="str" s="172" cm="1">
        <f t="array" ref="A104">"P02"</f>
        <v>P02</v>
      </c>
      <c r="B104" t="s" s="129">
        <v>164</v>
      </c>
      <c r="C104" s="173">
        <v>51</v>
      </c>
      <c r="D104" s="174" cm="1">
        <f t="array" ref="D104">VLOOKUP(C104,'P02'!A1:G53,7,FALSE)</f>
        <v>0</v>
      </c>
      <c r="E104" s="103"/>
    </row>
    <row r="105" ht="16.6" customHeight="1">
      <c r="A105" t="str" s="172" cm="1">
        <f t="array" ref="A105">"P02"</f>
        <v>P02</v>
      </c>
      <c r="B105" t="s" s="129">
        <v>166</v>
      </c>
      <c r="C105" s="173">
        <v>52</v>
      </c>
      <c r="D105" s="174" cm="1">
        <f t="array" ref="D105">VLOOKUP(C105,'P02'!A1:G53,7,FALSE)</f>
        <v>0</v>
      </c>
      <c r="E105" s="103"/>
    </row>
    <row r="106" ht="16.6" customHeight="1">
      <c r="A106" t="str" s="175" cm="1">
        <f t="array" ref="A106">"P03"</f>
        <v>P03</v>
      </c>
      <c r="B106" t="s" s="129">
        <v>65</v>
      </c>
      <c r="C106" s="173">
        <v>1</v>
      </c>
      <c r="D106" s="174" cm="1">
        <f t="array" ref="D106">VLOOKUP(C106,'P03'!A1:G53,7,FALSE)</f>
        <v>0</v>
      </c>
      <c r="E106" s="103"/>
    </row>
    <row r="107" ht="16.6" customHeight="1">
      <c r="A107" t="str" s="172" cm="1">
        <f t="array" ref="A107">"P03"</f>
        <v>P03</v>
      </c>
      <c r="B107" t="s" s="129">
        <v>67</v>
      </c>
      <c r="C107" s="173">
        <v>2</v>
      </c>
      <c r="D107" s="174" cm="1">
        <f t="array" ref="D107">VLOOKUP(C107,'P03'!A1:G53,7,FALSE)</f>
        <v>0</v>
      </c>
      <c r="E107" s="103"/>
    </row>
    <row r="108" ht="16.6" customHeight="1">
      <c r="A108" t="str" s="175" cm="1">
        <f t="array" ref="A108">"P03"</f>
        <v>P03</v>
      </c>
      <c r="B108" t="s" s="129">
        <v>69</v>
      </c>
      <c r="C108" s="173">
        <v>3</v>
      </c>
      <c r="D108" s="174" cm="1">
        <f t="array" ref="D108">VLOOKUP(C108,'P03'!A1:G53,7,FALSE)</f>
        <v>0</v>
      </c>
      <c r="E108" s="103"/>
    </row>
    <row r="109" ht="16.6" customHeight="1">
      <c r="A109" t="str" s="172" cm="1">
        <f t="array" ref="A109">"P03"</f>
        <v>P03</v>
      </c>
      <c r="B109" t="s" s="129">
        <v>71</v>
      </c>
      <c r="C109" s="173">
        <v>4</v>
      </c>
      <c r="D109" s="174" cm="1">
        <f t="array" ref="D109">VLOOKUP(C109,'P03'!A1:G53,7,FALSE)</f>
        <v>0</v>
      </c>
      <c r="E109" s="103"/>
    </row>
    <row r="110" ht="16.6" customHeight="1">
      <c r="A110" t="str" s="172" cm="1">
        <f t="array" ref="A110">"P03"</f>
        <v>P03</v>
      </c>
      <c r="B110" t="s" s="129">
        <v>73</v>
      </c>
      <c r="C110" s="173">
        <v>5</v>
      </c>
      <c r="D110" s="174" cm="1">
        <f t="array" ref="D110">VLOOKUP(C110,'P03'!A1:G53,7,FALSE)</f>
        <v>0</v>
      </c>
      <c r="E110" s="103"/>
    </row>
    <row r="111" ht="16.6" customHeight="1">
      <c r="A111" t="str" s="172" cm="1">
        <f t="array" ref="A111">"P03"</f>
        <v>P03</v>
      </c>
      <c r="B111" t="s" s="129">
        <v>75</v>
      </c>
      <c r="C111" s="173">
        <v>6</v>
      </c>
      <c r="D111" s="174" cm="1">
        <f t="array" ref="D111">VLOOKUP(C111,'P03'!A1:G53,7,FALSE)</f>
        <v>0</v>
      </c>
      <c r="E111" s="103"/>
    </row>
    <row r="112" ht="16.6" customHeight="1">
      <c r="A112" t="str" s="175" cm="1">
        <f t="array" ref="A112">"P03"</f>
        <v>P03</v>
      </c>
      <c r="B112" t="s" s="129">
        <v>77</v>
      </c>
      <c r="C112" s="173">
        <v>7</v>
      </c>
      <c r="D112" s="174" cm="1">
        <f t="array" ref="D112">VLOOKUP(C112,'P03'!A1:G53,7,FALSE)</f>
        <v>0</v>
      </c>
      <c r="E112" s="103"/>
    </row>
    <row r="113" ht="16.6" customHeight="1">
      <c r="A113" t="str" s="172" cm="1">
        <f t="array" ref="A113">"P03"</f>
        <v>P03</v>
      </c>
      <c r="B113" s="142">
        <v>2.1</v>
      </c>
      <c r="C113" s="173">
        <v>8</v>
      </c>
      <c r="D113" s="174" cm="1">
        <f t="array" ref="D113">VLOOKUP(C113,'P03'!A1:G53,7,FALSE)</f>
        <v>0</v>
      </c>
      <c r="E113" s="103"/>
    </row>
    <row r="114" ht="16.6" customHeight="1">
      <c r="A114" t="str" s="172" cm="1">
        <f t="array" ref="A114">"P03"</f>
        <v>P03</v>
      </c>
      <c r="B114" t="s" s="129">
        <v>80</v>
      </c>
      <c r="C114" s="173">
        <v>9</v>
      </c>
      <c r="D114" s="174" cm="1">
        <f t="array" ref="D114">VLOOKUP(C114,'P03'!A1:G53,7,FALSE)</f>
        <v>0</v>
      </c>
      <c r="E114" s="103"/>
    </row>
    <row r="115" ht="16.6" customHeight="1">
      <c r="A115" t="str" s="175" cm="1">
        <f t="array" ref="A115">"P03"</f>
        <v>P03</v>
      </c>
      <c r="B115" t="s" s="129">
        <v>82</v>
      </c>
      <c r="C115" s="173">
        <v>10</v>
      </c>
      <c r="D115" s="174" cm="1">
        <f t="array" ref="D115">VLOOKUP(C115,'P03'!A1:G53,7,FALSE)</f>
        <v>0</v>
      </c>
      <c r="E115" s="103"/>
    </row>
    <row r="116" ht="16.6" customHeight="1">
      <c r="A116" t="str" s="172" cm="1">
        <f t="array" ref="A116">"P03"</f>
        <v>P03</v>
      </c>
      <c r="B116" t="s" s="129">
        <v>84</v>
      </c>
      <c r="C116" s="173">
        <v>11</v>
      </c>
      <c r="D116" s="174" cm="1">
        <f t="array" ref="D116">VLOOKUP(C116,'P03'!A1:G53,7,FALSE)</f>
        <v>0</v>
      </c>
      <c r="E116" s="103"/>
    </row>
    <row r="117" ht="16.6" customHeight="1">
      <c r="A117" t="str" s="172" cm="1">
        <f t="array" ref="A117">"P03"</f>
        <v>P03</v>
      </c>
      <c r="B117" t="s" s="129">
        <v>86</v>
      </c>
      <c r="C117" s="173">
        <v>12</v>
      </c>
      <c r="D117" s="174" cm="1">
        <f t="array" ref="D117">VLOOKUP(C117,'P03'!A1:G53,7,FALSE)</f>
        <v>0</v>
      </c>
      <c r="E117" s="103"/>
    </row>
    <row r="118" ht="16.6" customHeight="1">
      <c r="A118" t="str" s="172" cm="1">
        <f t="array" ref="A118">"P03"</f>
        <v>P03</v>
      </c>
      <c r="B118" t="s" s="129">
        <v>88</v>
      </c>
      <c r="C118" s="173">
        <v>13</v>
      </c>
      <c r="D118" s="174" cm="1">
        <f t="array" ref="D118">VLOOKUP(C118,'P03'!A1:G53,7,FALSE)</f>
        <v>0</v>
      </c>
      <c r="E118" s="103"/>
    </row>
    <row r="119" ht="16.6" customHeight="1">
      <c r="A119" t="str" s="172" cm="1">
        <f t="array" ref="A119">"P03"</f>
        <v>P03</v>
      </c>
      <c r="B119" t="s" s="129">
        <v>90</v>
      </c>
      <c r="C119" s="173">
        <v>14</v>
      </c>
      <c r="D119" s="174" cm="1">
        <f t="array" ref="D119">VLOOKUP(C119,'P03'!A1:G53,7,FALSE)</f>
        <v>0</v>
      </c>
      <c r="E119" s="103"/>
    </row>
    <row r="120" ht="16.6" customHeight="1">
      <c r="A120" t="str" s="172" cm="1">
        <f t="array" ref="A120">"P03"</f>
        <v>P03</v>
      </c>
      <c r="B120" t="s" s="129">
        <v>92</v>
      </c>
      <c r="C120" s="173">
        <v>15</v>
      </c>
      <c r="D120" s="174" cm="1">
        <f t="array" ref="D120">VLOOKUP(C120,'P03'!A1:G53,7,FALSE)</f>
        <v>0</v>
      </c>
      <c r="E120" s="103"/>
    </row>
    <row r="121" ht="16.6" customHeight="1">
      <c r="A121" t="str" s="172" cm="1">
        <f t="array" ref="A121">"P03"</f>
        <v>P03</v>
      </c>
      <c r="B121" t="s" s="129">
        <v>94</v>
      </c>
      <c r="C121" s="173">
        <v>16</v>
      </c>
      <c r="D121" s="174" cm="1">
        <f t="array" ref="D121">VLOOKUP(C121,'P03'!A1:G53,7,FALSE)</f>
        <v>0</v>
      </c>
      <c r="E121" s="103"/>
    </row>
    <row r="122" ht="16.6" customHeight="1">
      <c r="A122" t="str" s="172" cm="1">
        <f t="array" ref="A122">"P03"</f>
        <v>P03</v>
      </c>
      <c r="B122" t="s" s="129">
        <v>96</v>
      </c>
      <c r="C122" s="173">
        <v>17</v>
      </c>
      <c r="D122" s="174" cm="1">
        <f t="array" ref="D122">VLOOKUP(C122,'P03'!A1:G53,7,FALSE)</f>
        <v>0</v>
      </c>
      <c r="E122" s="103"/>
    </row>
    <row r="123" ht="16.6" customHeight="1">
      <c r="A123" t="str" s="172" cm="1">
        <f t="array" ref="A123">"P03"</f>
        <v>P03</v>
      </c>
      <c r="B123" t="s" s="129">
        <v>98</v>
      </c>
      <c r="C123" s="173">
        <v>18</v>
      </c>
      <c r="D123" s="174" cm="1">
        <f t="array" ref="D123">VLOOKUP(C123,'P03'!A1:G53,7,FALSE)</f>
        <v>0</v>
      </c>
      <c r="E123" s="103"/>
    </row>
    <row r="124" ht="16.6" customHeight="1">
      <c r="A124" t="str" s="172" cm="1">
        <f t="array" ref="A124">"P03"</f>
        <v>P03</v>
      </c>
      <c r="B124" t="s" s="129">
        <v>100</v>
      </c>
      <c r="C124" s="173">
        <v>19</v>
      </c>
      <c r="D124" s="174" cm="1">
        <f t="array" ref="D124">VLOOKUP(C124,'P03'!A1:G53,7,FALSE)</f>
        <v>0</v>
      </c>
      <c r="E124" s="103"/>
    </row>
    <row r="125" ht="16.6" customHeight="1">
      <c r="A125" t="str" s="172" cm="1">
        <f t="array" ref="A125">"P03"</f>
        <v>P03</v>
      </c>
      <c r="B125" t="s" s="129">
        <v>102</v>
      </c>
      <c r="C125" s="173">
        <v>20</v>
      </c>
      <c r="D125" s="174" cm="1">
        <f t="array" ref="D125">VLOOKUP(C125,'P03'!A1:G53,7,FALSE)</f>
        <v>0</v>
      </c>
      <c r="E125" s="103"/>
    </row>
    <row r="126" ht="16.6" customHeight="1">
      <c r="A126" t="str" s="172" cm="1">
        <f t="array" ref="A126">"P03"</f>
        <v>P03</v>
      </c>
      <c r="B126" t="s" s="129">
        <v>104</v>
      </c>
      <c r="C126" s="173">
        <v>21</v>
      </c>
      <c r="D126" s="174" cm="1">
        <f t="array" ref="D126">VLOOKUP(C126,'P03'!A1:G53,7,FALSE)</f>
        <v>0</v>
      </c>
      <c r="E126" s="103"/>
    </row>
    <row r="127" ht="16.6" customHeight="1">
      <c r="A127" t="str" s="172" cm="1">
        <f t="array" ref="A127">"P03"</f>
        <v>P03</v>
      </c>
      <c r="B127" t="s" s="129">
        <v>106</v>
      </c>
      <c r="C127" s="173">
        <v>22</v>
      </c>
      <c r="D127" s="174" cm="1">
        <f t="array" ref="D127">VLOOKUP(C127,'P03'!A1:G53,7,FALSE)</f>
        <v>0</v>
      </c>
      <c r="E127" s="103"/>
    </row>
    <row r="128" ht="16.6" customHeight="1">
      <c r="A128" t="str" s="172" cm="1">
        <f t="array" ref="A128">"P03"</f>
        <v>P03</v>
      </c>
      <c r="B128" t="s" s="129">
        <v>108</v>
      </c>
      <c r="C128" s="173">
        <v>23</v>
      </c>
      <c r="D128" s="174" cm="1">
        <f t="array" ref="D128">VLOOKUP(C128,'P03'!A1:G53,7,FALSE)</f>
        <v>0</v>
      </c>
      <c r="E128" s="103"/>
    </row>
    <row r="129" ht="16.6" customHeight="1">
      <c r="A129" t="str" s="172" cm="1">
        <f t="array" ref="A129">"P03"</f>
        <v>P03</v>
      </c>
      <c r="B129" t="s" s="129">
        <v>110</v>
      </c>
      <c r="C129" s="173">
        <v>24</v>
      </c>
      <c r="D129" s="174" cm="1">
        <f t="array" ref="D129">VLOOKUP(C129,'P03'!A1:G53,7,FALSE)</f>
        <v>0</v>
      </c>
      <c r="E129" s="103"/>
    </row>
    <row r="130" ht="16.6" customHeight="1">
      <c r="A130" t="str" s="172" cm="1">
        <f t="array" ref="A130">"P03"</f>
        <v>P03</v>
      </c>
      <c r="B130" t="s" s="129">
        <v>112</v>
      </c>
      <c r="C130" s="173">
        <v>25</v>
      </c>
      <c r="D130" s="174" cm="1">
        <f t="array" ref="D130">VLOOKUP(C130,'P03'!A1:G53,7,FALSE)</f>
        <v>0</v>
      </c>
      <c r="E130" s="103"/>
    </row>
    <row r="131" ht="16.6" customHeight="1">
      <c r="A131" t="str" s="172" cm="1">
        <f t="array" ref="A131">"P03"</f>
        <v>P03</v>
      </c>
      <c r="B131" t="s" s="129">
        <v>114</v>
      </c>
      <c r="C131" s="173">
        <v>26</v>
      </c>
      <c r="D131" s="174" cm="1">
        <f t="array" ref="D131">VLOOKUP(C131,'P03'!A1:G53,7,FALSE)</f>
        <v>0</v>
      </c>
      <c r="E131" s="103"/>
    </row>
    <row r="132" ht="16.6" customHeight="1">
      <c r="A132" t="str" s="172" cm="1">
        <f t="array" ref="A132">"P03"</f>
        <v>P03</v>
      </c>
      <c r="B132" t="s" s="129">
        <v>116</v>
      </c>
      <c r="C132" s="173">
        <v>27</v>
      </c>
      <c r="D132" s="174" cm="1">
        <f t="array" ref="D132">VLOOKUP(C132,'P03'!A1:G53,7,FALSE)</f>
        <v>0</v>
      </c>
      <c r="E132" s="103"/>
    </row>
    <row r="133" ht="16.6" customHeight="1">
      <c r="A133" t="str" s="172" cm="1">
        <f t="array" ref="A133">"P03"</f>
        <v>P03</v>
      </c>
      <c r="B133" t="s" s="129">
        <v>118</v>
      </c>
      <c r="C133" s="173">
        <v>28</v>
      </c>
      <c r="D133" s="174" cm="1">
        <f t="array" ref="D133">VLOOKUP(C133,'P03'!A1:G53,7,FALSE)</f>
        <v>0</v>
      </c>
      <c r="E133" s="103"/>
    </row>
    <row r="134" ht="16.6" customHeight="1">
      <c r="A134" t="str" s="172" cm="1">
        <f t="array" ref="A134">"P03"</f>
        <v>P03</v>
      </c>
      <c r="B134" t="s" s="129">
        <v>120</v>
      </c>
      <c r="C134" s="173">
        <v>29</v>
      </c>
      <c r="D134" s="174" cm="1">
        <f t="array" ref="D134">VLOOKUP(C134,'P03'!A1:G53,7,FALSE)</f>
        <v>0</v>
      </c>
      <c r="E134" s="103"/>
    </row>
    <row r="135" ht="16.6" customHeight="1">
      <c r="A135" t="str" s="172" cm="1">
        <f t="array" ref="A135">"P03"</f>
        <v>P03</v>
      </c>
      <c r="B135" t="s" s="129">
        <v>122</v>
      </c>
      <c r="C135" s="173">
        <v>30</v>
      </c>
      <c r="D135" s="174" cm="1">
        <f t="array" ref="D135">VLOOKUP(C135,'P03'!A1:G53,7,FALSE)</f>
        <v>0</v>
      </c>
      <c r="E135" s="103"/>
    </row>
    <row r="136" ht="16.6" customHeight="1">
      <c r="A136" t="str" s="172" cm="1">
        <f t="array" ref="A136">"P03"</f>
        <v>P03</v>
      </c>
      <c r="B136" t="s" s="129">
        <v>124</v>
      </c>
      <c r="C136" s="173">
        <v>31</v>
      </c>
      <c r="D136" s="174" cm="1">
        <f t="array" ref="D136">VLOOKUP(C136,'P03'!A1:G53,7,FALSE)</f>
        <v>0</v>
      </c>
      <c r="E136" s="103"/>
    </row>
    <row r="137" ht="16.6" customHeight="1">
      <c r="A137" t="str" s="172" cm="1">
        <f t="array" ref="A137">"P03"</f>
        <v>P03</v>
      </c>
      <c r="B137" t="s" s="129">
        <v>126</v>
      </c>
      <c r="C137" s="173">
        <v>32</v>
      </c>
      <c r="D137" s="174" cm="1">
        <f t="array" ref="D137">VLOOKUP(C137,'P03'!A1:G53,7,FALSE)</f>
        <v>0</v>
      </c>
      <c r="E137" s="103"/>
    </row>
    <row r="138" ht="16.6" customHeight="1">
      <c r="A138" t="str" s="172" cm="1">
        <f t="array" ref="A138">"P03"</f>
        <v>P03</v>
      </c>
      <c r="B138" t="s" s="129">
        <v>128</v>
      </c>
      <c r="C138" s="173">
        <v>33</v>
      </c>
      <c r="D138" s="174" cm="1">
        <f t="array" ref="D138">VLOOKUP(C138,'P03'!A1:G53,7,FALSE)</f>
        <v>0</v>
      </c>
      <c r="E138" s="103"/>
    </row>
    <row r="139" ht="16.6" customHeight="1">
      <c r="A139" t="str" s="172" cm="1">
        <f t="array" ref="A139">"P03"</f>
        <v>P03</v>
      </c>
      <c r="B139" t="s" s="129">
        <v>130</v>
      </c>
      <c r="C139" s="173">
        <v>34</v>
      </c>
      <c r="D139" s="174" cm="1">
        <f t="array" ref="D139">VLOOKUP(C139,'P03'!A1:G53,7,FALSE)</f>
        <v>0</v>
      </c>
      <c r="E139" s="103"/>
    </row>
    <row r="140" ht="16.6" customHeight="1">
      <c r="A140" t="str" s="172" cm="1">
        <f t="array" ref="A140">"P03"</f>
        <v>P03</v>
      </c>
      <c r="B140" t="s" s="129">
        <v>132</v>
      </c>
      <c r="C140" s="173">
        <v>35</v>
      </c>
      <c r="D140" s="174" cm="1">
        <f t="array" ref="D140">VLOOKUP(C140,'P03'!A1:G53,7,FALSE)</f>
        <v>0</v>
      </c>
      <c r="E140" s="103"/>
    </row>
    <row r="141" ht="16.6" customHeight="1">
      <c r="A141" t="str" s="172" cm="1">
        <f t="array" ref="A141">"P03"</f>
        <v>P03</v>
      </c>
      <c r="B141" t="s" s="129">
        <v>134</v>
      </c>
      <c r="C141" s="173">
        <v>36</v>
      </c>
      <c r="D141" s="174" cm="1">
        <f t="array" ref="D141">VLOOKUP(C141,'P03'!A1:G53,7,FALSE)</f>
        <v>0</v>
      </c>
      <c r="E141" s="103"/>
    </row>
    <row r="142" ht="16.6" customHeight="1">
      <c r="A142" t="str" s="172" cm="1">
        <f t="array" ref="A142">"P03"</f>
        <v>P03</v>
      </c>
      <c r="B142" t="s" s="129">
        <v>136</v>
      </c>
      <c r="C142" s="173">
        <v>37</v>
      </c>
      <c r="D142" s="174" cm="1">
        <f t="array" ref="D142">VLOOKUP(C142,'P03'!A1:G53,7,FALSE)</f>
        <v>0</v>
      </c>
      <c r="E142" s="103"/>
    </row>
    <row r="143" ht="16.6" customHeight="1">
      <c r="A143" t="str" s="172" cm="1">
        <f t="array" ref="A143">"P03"</f>
        <v>P03</v>
      </c>
      <c r="B143" t="s" s="129">
        <v>138</v>
      </c>
      <c r="C143" s="173">
        <v>38</v>
      </c>
      <c r="D143" s="174" cm="1">
        <f t="array" ref="D143">VLOOKUP(C143,'P03'!A1:G53,7,FALSE)</f>
        <v>0</v>
      </c>
      <c r="E143" s="103"/>
    </row>
    <row r="144" ht="16.6" customHeight="1">
      <c r="A144" t="str" s="172" cm="1">
        <f t="array" ref="A144">"P03"</f>
        <v>P03</v>
      </c>
      <c r="B144" t="s" s="129">
        <v>140</v>
      </c>
      <c r="C144" s="173">
        <v>39</v>
      </c>
      <c r="D144" s="174" cm="1">
        <f t="array" ref="D144">VLOOKUP(C144,'P03'!A1:G53,7,FALSE)</f>
        <v>0</v>
      </c>
      <c r="E144" s="103"/>
    </row>
    <row r="145" ht="16.6" customHeight="1">
      <c r="A145" t="str" s="172" cm="1">
        <f t="array" ref="A145">"P03"</f>
        <v>P03</v>
      </c>
      <c r="B145" t="s" s="129">
        <v>142</v>
      </c>
      <c r="C145" s="173">
        <v>40</v>
      </c>
      <c r="D145" s="174" cm="1">
        <f t="array" ref="D145">VLOOKUP(C145,'P03'!A1:G53,7,FALSE)</f>
        <v>0</v>
      </c>
      <c r="E145" s="103"/>
    </row>
    <row r="146" ht="16.6" customHeight="1">
      <c r="A146" t="str" s="172" cm="1">
        <f t="array" ref="A146">"P03"</f>
        <v>P03</v>
      </c>
      <c r="B146" t="s" s="129">
        <v>144</v>
      </c>
      <c r="C146" s="173">
        <v>41</v>
      </c>
      <c r="D146" s="174" cm="1">
        <f t="array" ref="D146">VLOOKUP(C146,'P03'!A1:G53,7,FALSE)</f>
        <v>0</v>
      </c>
      <c r="E146" s="103"/>
    </row>
    <row r="147" ht="16.6" customHeight="1">
      <c r="A147" t="str" s="172" cm="1">
        <f t="array" ref="A147">"P03"</f>
        <v>P03</v>
      </c>
      <c r="B147" t="s" s="129">
        <v>146</v>
      </c>
      <c r="C147" s="173">
        <v>42</v>
      </c>
      <c r="D147" s="174" cm="1">
        <f t="array" ref="D147">VLOOKUP(C147,'P03'!A1:G53,7,FALSE)</f>
        <v>0</v>
      </c>
      <c r="E147" s="103"/>
    </row>
    <row r="148" ht="16.6" customHeight="1">
      <c r="A148" t="str" s="172" cm="1">
        <f t="array" ref="A148">"P03"</f>
        <v>P03</v>
      </c>
      <c r="B148" t="s" s="129">
        <v>148</v>
      </c>
      <c r="C148" s="173">
        <v>43</v>
      </c>
      <c r="D148" s="174" cm="1">
        <f t="array" ref="D148">VLOOKUP(C148,'P03'!A1:G53,7,FALSE)</f>
        <v>0</v>
      </c>
      <c r="E148" s="103"/>
    </row>
    <row r="149" ht="16.6" customHeight="1">
      <c r="A149" t="str" s="172" cm="1">
        <f t="array" ref="A149">"P03"</f>
        <v>P03</v>
      </c>
      <c r="B149" t="s" s="129">
        <v>150</v>
      </c>
      <c r="C149" s="173">
        <v>44</v>
      </c>
      <c r="D149" s="174" cm="1">
        <f t="array" ref="D149">VLOOKUP(C149,'P03'!A1:G53,7,FALSE)</f>
        <v>0</v>
      </c>
      <c r="E149" s="103"/>
    </row>
    <row r="150" ht="16.6" customHeight="1">
      <c r="A150" t="str" s="172" cm="1">
        <f t="array" ref="A150">"P03"</f>
        <v>P03</v>
      </c>
      <c r="B150" t="s" s="129">
        <v>152</v>
      </c>
      <c r="C150" s="173">
        <v>45</v>
      </c>
      <c r="D150" s="174" cm="1">
        <f t="array" ref="D150">VLOOKUP(C150,'P03'!A1:G53,7,FALSE)</f>
        <v>0</v>
      </c>
      <c r="E150" s="103"/>
    </row>
    <row r="151" ht="16.6" customHeight="1">
      <c r="A151" t="str" s="172" cm="1">
        <f t="array" ref="A151">"P03"</f>
        <v>P03</v>
      </c>
      <c r="B151" t="s" s="129">
        <v>154</v>
      </c>
      <c r="C151" s="173">
        <v>46</v>
      </c>
      <c r="D151" s="174" cm="1">
        <f t="array" ref="D151">VLOOKUP(C151,'P03'!A1:G53,7,FALSE)</f>
        <v>0</v>
      </c>
      <c r="E151" s="103"/>
    </row>
    <row r="152" ht="16.6" customHeight="1">
      <c r="A152" t="str" s="172" cm="1">
        <f t="array" ref="A152">"P03"</f>
        <v>P03</v>
      </c>
      <c r="B152" t="s" s="129">
        <v>156</v>
      </c>
      <c r="C152" s="173">
        <v>47</v>
      </c>
      <c r="D152" s="174" cm="1">
        <f t="array" ref="D152">VLOOKUP(C152,'P03'!A1:G53,7,FALSE)</f>
        <v>0</v>
      </c>
      <c r="E152" s="103"/>
    </row>
    <row r="153" ht="16.6" customHeight="1">
      <c r="A153" t="str" s="172" cm="1">
        <f t="array" ref="A153">"P03"</f>
        <v>P03</v>
      </c>
      <c r="B153" t="s" s="129">
        <v>158</v>
      </c>
      <c r="C153" s="173">
        <v>48</v>
      </c>
      <c r="D153" s="174" cm="1">
        <f t="array" ref="D153">VLOOKUP(C153,'P03'!A1:G53,7,FALSE)</f>
        <v>0</v>
      </c>
      <c r="E153" s="103"/>
    </row>
    <row r="154" ht="16.6" customHeight="1">
      <c r="A154" t="str" s="172" cm="1">
        <f t="array" ref="A154">"P03"</f>
        <v>P03</v>
      </c>
      <c r="B154" t="s" s="129">
        <v>160</v>
      </c>
      <c r="C154" s="173">
        <v>49</v>
      </c>
      <c r="D154" s="174" cm="1">
        <f t="array" ref="D154">VLOOKUP(C154,'P03'!A1:G53,7,FALSE)</f>
        <v>0</v>
      </c>
      <c r="E154" s="103"/>
    </row>
    <row r="155" ht="16.6" customHeight="1">
      <c r="A155" t="str" s="172" cm="1">
        <f t="array" ref="A155">"P03"</f>
        <v>P03</v>
      </c>
      <c r="B155" t="s" s="129">
        <v>162</v>
      </c>
      <c r="C155" s="173">
        <v>50</v>
      </c>
      <c r="D155" s="174" cm="1">
        <f t="array" ref="D155">VLOOKUP(C155,'P03'!A1:G53,7,FALSE)</f>
        <v>0</v>
      </c>
      <c r="E155" s="103"/>
    </row>
    <row r="156" ht="16.6" customHeight="1">
      <c r="A156" t="str" s="172" cm="1">
        <f t="array" ref="A156">"P03"</f>
        <v>P03</v>
      </c>
      <c r="B156" t="s" s="129">
        <v>164</v>
      </c>
      <c r="C156" s="173">
        <v>51</v>
      </c>
      <c r="D156" s="174" cm="1">
        <f t="array" ref="D156">VLOOKUP(C156,'P03'!A1:G53,7,FALSE)</f>
        <v>0</v>
      </c>
      <c r="E156" s="103"/>
    </row>
    <row r="157" ht="16.6" customHeight="1">
      <c r="A157" t="str" s="172" cm="1">
        <f t="array" ref="A157">"P03"</f>
        <v>P03</v>
      </c>
      <c r="B157" t="s" s="129">
        <v>166</v>
      </c>
      <c r="C157" s="173">
        <v>52</v>
      </c>
      <c r="D157" s="174" cm="1">
        <f t="array" ref="D157">VLOOKUP(C157,'P03'!A1:G53,7,FALSE)</f>
        <v>0</v>
      </c>
      <c r="E157" s="103"/>
    </row>
    <row r="158" ht="16.6" customHeight="1">
      <c r="A158" s="176"/>
      <c r="B158" s="177"/>
      <c r="C158" s="148"/>
      <c r="D158" s="160"/>
      <c r="E158" s="103"/>
    </row>
    <row r="159" ht="16.6" customHeight="1">
      <c r="A159" s="176"/>
      <c r="B159" s="178"/>
      <c r="C159" s="148"/>
      <c r="D159" s="160"/>
      <c r="E159" s="103"/>
    </row>
    <row r="160" ht="16.6" customHeight="1">
      <c r="A160" s="176"/>
      <c r="B160" s="178"/>
      <c r="C160" s="148"/>
      <c r="D160" s="160"/>
      <c r="E160" s="103"/>
    </row>
    <row r="161" ht="16.6" customHeight="1">
      <c r="A161" s="176"/>
      <c r="B161" s="178"/>
      <c r="C161" s="148"/>
      <c r="D161" s="160"/>
      <c r="E161" s="103"/>
    </row>
    <row r="162" ht="16.6" customHeight="1">
      <c r="A162" s="176"/>
      <c r="B162" s="178"/>
      <c r="C162" s="148"/>
      <c r="D162" s="160"/>
      <c r="E162" s="103"/>
    </row>
    <row r="163" ht="16.6" customHeight="1">
      <c r="A163" s="176"/>
      <c r="B163" s="178"/>
      <c r="C163" s="148"/>
      <c r="D163" s="160"/>
      <c r="E163" s="103"/>
    </row>
    <row r="164" ht="16.6" customHeight="1">
      <c r="A164" s="176"/>
      <c r="B164" s="178"/>
      <c r="C164" s="148"/>
      <c r="D164" s="160"/>
      <c r="E164" s="103"/>
    </row>
    <row r="165" ht="16.6" customHeight="1">
      <c r="A165" s="176"/>
      <c r="B165" s="178"/>
      <c r="C165" s="148"/>
      <c r="D165" s="160"/>
      <c r="E165" s="103"/>
    </row>
    <row r="166" ht="16.6" customHeight="1">
      <c r="A166" s="176"/>
      <c r="B166" s="178"/>
      <c r="C166" s="148"/>
      <c r="D166" s="160"/>
      <c r="E166" s="103"/>
    </row>
    <row r="167" ht="16.6" customHeight="1">
      <c r="A167" s="176"/>
      <c r="B167" s="178"/>
      <c r="C167" s="148"/>
      <c r="D167" s="160"/>
      <c r="E167" s="103"/>
    </row>
    <row r="168" ht="16.6" customHeight="1">
      <c r="A168" s="176"/>
      <c r="B168" s="178"/>
      <c r="C168" s="148"/>
      <c r="D168" s="160"/>
      <c r="E168" s="103"/>
    </row>
    <row r="169" ht="16.6" customHeight="1">
      <c r="A169" s="176"/>
      <c r="B169" s="178"/>
      <c r="C169" s="148"/>
      <c r="D169" s="160"/>
      <c r="E169" s="103"/>
    </row>
    <row r="170" ht="16.6" customHeight="1">
      <c r="A170" s="176"/>
      <c r="B170" s="178"/>
      <c r="C170" s="148"/>
      <c r="D170" s="160"/>
      <c r="E170" s="103"/>
    </row>
    <row r="171" ht="16.6" customHeight="1">
      <c r="A171" s="176"/>
      <c r="B171" s="178"/>
      <c r="C171" s="148"/>
      <c r="D171" s="160"/>
      <c r="E171" s="103"/>
    </row>
    <row r="172" ht="16.6" customHeight="1">
      <c r="A172" s="176"/>
      <c r="B172" s="178"/>
      <c r="C172" s="148"/>
      <c r="D172" s="160"/>
      <c r="E172" s="103"/>
    </row>
    <row r="173" ht="16.6" customHeight="1">
      <c r="A173" s="176"/>
      <c r="B173" s="178"/>
      <c r="C173" s="148"/>
      <c r="D173" s="160"/>
      <c r="E173" s="103"/>
    </row>
    <row r="174" ht="16.6" customHeight="1">
      <c r="A174" s="176"/>
      <c r="B174" s="178"/>
      <c r="C174" s="148"/>
      <c r="D174" s="160"/>
      <c r="E174" s="103"/>
    </row>
    <row r="175" ht="16.6" customHeight="1">
      <c r="A175" s="176"/>
      <c r="B175" s="178"/>
      <c r="C175" s="148"/>
      <c r="D175" s="160"/>
      <c r="E175" s="103"/>
    </row>
    <row r="176" ht="16.6" customHeight="1">
      <c r="A176" s="176"/>
      <c r="B176" s="178"/>
      <c r="C176" s="148"/>
      <c r="D176" s="160"/>
      <c r="E176" s="103"/>
    </row>
    <row r="177" ht="16.6" customHeight="1">
      <c r="A177" s="176"/>
      <c r="B177" s="178"/>
      <c r="C177" s="148"/>
      <c r="D177" s="160"/>
      <c r="E177" s="103"/>
    </row>
    <row r="178" ht="16.6" customHeight="1">
      <c r="A178" s="176"/>
      <c r="B178" s="178"/>
      <c r="C178" s="148"/>
      <c r="D178" s="160"/>
      <c r="E178" s="103"/>
    </row>
    <row r="179" ht="16.6" customHeight="1">
      <c r="A179" s="176"/>
      <c r="B179" s="178"/>
      <c r="C179" s="148"/>
      <c r="D179" s="160"/>
      <c r="E179" s="103"/>
    </row>
    <row r="180" ht="16.6" customHeight="1">
      <c r="A180" s="176"/>
      <c r="B180" s="178"/>
      <c r="C180" s="148"/>
      <c r="D180" s="160"/>
      <c r="E180" s="103"/>
    </row>
    <row r="181" ht="16.6" customHeight="1">
      <c r="A181" s="176"/>
      <c r="B181" s="178"/>
      <c r="C181" s="148"/>
      <c r="D181" s="160"/>
      <c r="E181" s="103"/>
    </row>
    <row r="182" ht="16.6" customHeight="1">
      <c r="A182" s="176"/>
      <c r="B182" s="178"/>
      <c r="C182" s="148"/>
      <c r="D182" s="160"/>
      <c r="E182" s="103"/>
    </row>
    <row r="183" ht="16.6" customHeight="1">
      <c r="A183" s="176"/>
      <c r="B183" s="178"/>
      <c r="C183" s="148"/>
      <c r="D183" s="160"/>
      <c r="E183" s="103"/>
    </row>
    <row r="184" ht="16.6" customHeight="1">
      <c r="A184" s="176"/>
      <c r="B184" s="178"/>
      <c r="C184" s="148"/>
      <c r="D184" s="160"/>
      <c r="E184" s="103"/>
    </row>
    <row r="185" ht="16.6" customHeight="1">
      <c r="A185" s="176"/>
      <c r="B185" s="178"/>
      <c r="C185" s="148"/>
      <c r="D185" s="160"/>
      <c r="E185" s="103"/>
    </row>
    <row r="186" ht="16.6" customHeight="1">
      <c r="A186" s="176"/>
      <c r="B186" s="178"/>
      <c r="C186" s="148"/>
      <c r="D186" s="160"/>
      <c r="E186" s="103"/>
    </row>
    <row r="187" ht="16.6" customHeight="1">
      <c r="A187" s="176"/>
      <c r="B187" s="178"/>
      <c r="C187" s="148"/>
      <c r="D187" s="160"/>
      <c r="E187" s="103"/>
    </row>
    <row r="188" ht="16.6" customHeight="1">
      <c r="A188" s="176"/>
      <c r="B188" s="178"/>
      <c r="C188" s="148"/>
      <c r="D188" s="160"/>
      <c r="E188" s="103"/>
    </row>
    <row r="189" ht="16.6" customHeight="1">
      <c r="A189" s="176"/>
      <c r="B189" s="178"/>
      <c r="C189" s="148"/>
      <c r="D189" s="160"/>
      <c r="E189" s="103"/>
    </row>
    <row r="190" ht="16.6" customHeight="1">
      <c r="A190" s="176"/>
      <c r="B190" s="178"/>
      <c r="C190" s="148"/>
      <c r="D190" s="160"/>
      <c r="E190" s="103"/>
    </row>
    <row r="191" ht="16.6" customHeight="1">
      <c r="A191" s="176"/>
      <c r="B191" s="178"/>
      <c r="C191" s="148"/>
      <c r="D191" s="160"/>
      <c r="E191" s="103"/>
    </row>
    <row r="192" ht="16.6" customHeight="1">
      <c r="A192" s="176"/>
      <c r="B192" s="178"/>
      <c r="C192" s="148"/>
      <c r="D192" s="160"/>
      <c r="E192" s="103"/>
    </row>
    <row r="193" ht="16.6" customHeight="1">
      <c r="A193" s="176"/>
      <c r="B193" s="178"/>
      <c r="C193" s="148"/>
      <c r="D193" s="160"/>
      <c r="E193" s="103"/>
    </row>
    <row r="194" ht="16.6" customHeight="1">
      <c r="A194" s="176"/>
      <c r="B194" s="178"/>
      <c r="C194" s="148"/>
      <c r="D194" s="160"/>
      <c r="E194" s="103"/>
    </row>
    <row r="195" ht="16.6" customHeight="1">
      <c r="A195" s="176"/>
      <c r="B195" s="178"/>
      <c r="C195" s="148"/>
      <c r="D195" s="160"/>
      <c r="E195" s="103"/>
    </row>
    <row r="196" ht="16.6" customHeight="1">
      <c r="A196" s="176"/>
      <c r="B196" s="178"/>
      <c r="C196" s="148"/>
      <c r="D196" s="160"/>
      <c r="E196" s="103"/>
    </row>
    <row r="197" ht="16.6" customHeight="1">
      <c r="A197" s="176"/>
      <c r="B197" s="178"/>
      <c r="C197" s="148"/>
      <c r="D197" s="160"/>
      <c r="E197" s="103"/>
    </row>
    <row r="198" ht="16.6" customHeight="1">
      <c r="A198" s="176"/>
      <c r="B198" s="178"/>
      <c r="C198" s="148"/>
      <c r="D198" s="160"/>
      <c r="E198" s="103"/>
    </row>
    <row r="199" ht="16.6" customHeight="1">
      <c r="A199" s="176"/>
      <c r="B199" s="178"/>
      <c r="C199" s="148"/>
      <c r="D199" s="160"/>
      <c r="E199" s="103"/>
    </row>
    <row r="200" ht="16.6" customHeight="1">
      <c r="A200" s="176"/>
      <c r="B200" s="178"/>
      <c r="C200" s="148"/>
      <c r="D200" s="160"/>
      <c r="E200" s="103"/>
    </row>
    <row r="201" ht="16.6" customHeight="1">
      <c r="A201" s="176"/>
      <c r="B201" s="178"/>
      <c r="C201" s="148"/>
      <c r="D201" s="160"/>
      <c r="E201" s="103"/>
    </row>
    <row r="202" ht="16.6" customHeight="1">
      <c r="A202" s="176"/>
      <c r="B202" s="178"/>
      <c r="C202" s="148"/>
      <c r="D202" s="160"/>
      <c r="E202" s="103"/>
    </row>
    <row r="203" ht="16.6" customHeight="1">
      <c r="A203" s="176"/>
      <c r="B203" s="178"/>
      <c r="C203" s="148"/>
      <c r="D203" s="160"/>
      <c r="E203" s="103"/>
    </row>
    <row r="204" ht="16.6" customHeight="1">
      <c r="A204" s="176"/>
      <c r="B204" s="178"/>
      <c r="C204" s="148"/>
      <c r="D204" s="160"/>
      <c r="E204" s="103"/>
    </row>
    <row r="205" ht="16.6" customHeight="1">
      <c r="A205" s="176"/>
      <c r="B205" s="178"/>
      <c r="C205" s="148"/>
      <c r="D205" s="160"/>
      <c r="E205" s="103"/>
    </row>
    <row r="206" ht="16.6" customHeight="1">
      <c r="A206" s="176"/>
      <c r="B206" s="178"/>
      <c r="C206" s="148"/>
      <c r="D206" s="160"/>
      <c r="E206" s="103"/>
    </row>
    <row r="207" ht="16.6" customHeight="1">
      <c r="A207" s="176"/>
      <c r="B207" s="178"/>
      <c r="C207" s="148"/>
      <c r="D207" s="160"/>
      <c r="E207" s="103"/>
    </row>
    <row r="208" ht="16.6" customHeight="1">
      <c r="A208" s="176"/>
      <c r="B208" s="178"/>
      <c r="C208" s="148"/>
      <c r="D208" s="160"/>
      <c r="E208" s="103"/>
    </row>
    <row r="209" ht="16.6" customHeight="1">
      <c r="A209" s="176"/>
      <c r="B209" s="178"/>
      <c r="C209" s="148"/>
      <c r="D209" s="160"/>
      <c r="E209" s="103"/>
    </row>
    <row r="210" ht="16.6" customHeight="1">
      <c r="A210" s="176"/>
      <c r="B210" s="178"/>
      <c r="C210" s="148"/>
      <c r="D210" s="160"/>
      <c r="E210" s="103"/>
    </row>
    <row r="211" ht="16.6" customHeight="1">
      <c r="A211" s="176"/>
      <c r="B211" s="178"/>
      <c r="C211" s="148"/>
      <c r="D211" s="160"/>
      <c r="E211" s="103"/>
    </row>
    <row r="212" ht="16.6" customHeight="1">
      <c r="A212" s="176"/>
      <c r="B212" s="178"/>
      <c r="C212" s="148"/>
      <c r="D212" s="160"/>
      <c r="E212" s="103"/>
    </row>
    <row r="213" ht="16.6" customHeight="1">
      <c r="A213" s="176"/>
      <c r="B213" s="178"/>
      <c r="C213" s="148"/>
      <c r="D213" s="160"/>
      <c r="E213" s="103"/>
    </row>
    <row r="214" ht="16.6" customHeight="1">
      <c r="A214" s="176"/>
      <c r="B214" s="178"/>
      <c r="C214" s="148"/>
      <c r="D214" s="160"/>
      <c r="E214" s="103"/>
    </row>
    <row r="215" ht="16.6" customHeight="1">
      <c r="A215" s="176"/>
      <c r="B215" s="178"/>
      <c r="C215" s="148"/>
      <c r="D215" s="160"/>
      <c r="E215" s="103"/>
    </row>
    <row r="216" ht="16.6" customHeight="1">
      <c r="A216" s="176"/>
      <c r="B216" s="178"/>
      <c r="C216" s="148"/>
      <c r="D216" s="160"/>
      <c r="E216" s="103"/>
    </row>
    <row r="217" ht="16.6" customHeight="1">
      <c r="A217" s="176"/>
      <c r="B217" s="178"/>
      <c r="C217" s="148"/>
      <c r="D217" s="160"/>
      <c r="E217" s="103"/>
    </row>
    <row r="218" ht="16.6" customHeight="1">
      <c r="A218" s="176"/>
      <c r="B218" s="178"/>
      <c r="C218" s="148"/>
      <c r="D218" s="160"/>
      <c r="E218" s="103"/>
    </row>
    <row r="219" ht="16.6" customHeight="1">
      <c r="A219" s="176"/>
      <c r="B219" s="178"/>
      <c r="C219" s="148"/>
      <c r="D219" s="160"/>
      <c r="E219" s="103"/>
    </row>
    <row r="220" ht="16.6" customHeight="1">
      <c r="A220" s="176"/>
      <c r="B220" s="178"/>
      <c r="C220" s="148"/>
      <c r="D220" s="160"/>
      <c r="E220" s="103"/>
    </row>
    <row r="221" ht="16.6" customHeight="1">
      <c r="A221" s="176"/>
      <c r="B221" s="178"/>
      <c r="C221" s="148"/>
      <c r="D221" s="160"/>
      <c r="E221" s="103"/>
    </row>
    <row r="222" ht="16.6" customHeight="1">
      <c r="A222" s="176"/>
      <c r="B222" s="178"/>
      <c r="C222" s="148"/>
      <c r="D222" s="160"/>
      <c r="E222" s="103"/>
    </row>
    <row r="223" ht="16.6" customHeight="1">
      <c r="A223" s="176"/>
      <c r="B223" s="178"/>
      <c r="C223" s="148"/>
      <c r="D223" s="160"/>
      <c r="E223" s="103"/>
    </row>
    <row r="224" ht="16.6" customHeight="1">
      <c r="A224" s="176"/>
      <c r="B224" s="178"/>
      <c r="C224" s="148"/>
      <c r="D224" s="160"/>
      <c r="E224" s="103"/>
    </row>
    <row r="225" ht="16.6" customHeight="1">
      <c r="A225" s="176"/>
      <c r="B225" s="178"/>
      <c r="C225" s="148"/>
      <c r="D225" s="160"/>
      <c r="E225" s="103"/>
    </row>
    <row r="226" ht="16.6" customHeight="1">
      <c r="A226" s="176"/>
      <c r="B226" s="178"/>
      <c r="C226" s="148"/>
      <c r="D226" s="160"/>
      <c r="E226" s="103"/>
    </row>
    <row r="227" ht="16.6" customHeight="1">
      <c r="A227" s="176"/>
      <c r="B227" s="178"/>
      <c r="C227" s="148"/>
      <c r="D227" s="160"/>
      <c r="E227" s="103"/>
    </row>
    <row r="228" ht="16.6" customHeight="1">
      <c r="A228" s="176"/>
      <c r="B228" s="178"/>
      <c r="C228" s="148"/>
      <c r="D228" s="160"/>
      <c r="E228" s="103"/>
    </row>
    <row r="229" ht="16.6" customHeight="1">
      <c r="A229" s="176"/>
      <c r="B229" s="178"/>
      <c r="C229" s="148"/>
      <c r="D229" s="160"/>
      <c r="E229" s="103"/>
    </row>
    <row r="230" ht="16.6" customHeight="1">
      <c r="A230" s="176"/>
      <c r="B230" s="178"/>
      <c r="C230" s="148"/>
      <c r="D230" s="160"/>
      <c r="E230" s="103"/>
    </row>
    <row r="231" ht="16.6" customHeight="1">
      <c r="A231" s="176"/>
      <c r="B231" s="178"/>
      <c r="C231" s="148"/>
      <c r="D231" s="160"/>
      <c r="E231" s="103"/>
    </row>
    <row r="232" ht="16.6" customHeight="1">
      <c r="A232" s="176"/>
      <c r="B232" s="178"/>
      <c r="C232" s="148"/>
      <c r="D232" s="160"/>
      <c r="E232" s="103"/>
    </row>
    <row r="233" ht="16.6" customHeight="1">
      <c r="A233" s="176"/>
      <c r="B233" s="178"/>
      <c r="C233" s="148"/>
      <c r="D233" s="160"/>
      <c r="E233" s="103"/>
    </row>
    <row r="234" ht="16.6" customHeight="1">
      <c r="A234" s="176"/>
      <c r="B234" s="178"/>
      <c r="C234" s="148"/>
      <c r="D234" s="160"/>
      <c r="E234" s="103"/>
    </row>
    <row r="235" ht="16.6" customHeight="1">
      <c r="A235" s="176"/>
      <c r="B235" s="178"/>
      <c r="C235" s="148"/>
      <c r="D235" s="160"/>
      <c r="E235" s="103"/>
    </row>
    <row r="236" ht="16.6" customHeight="1">
      <c r="A236" s="176"/>
      <c r="B236" s="178"/>
      <c r="C236" s="148"/>
      <c r="D236" s="160"/>
      <c r="E236" s="103"/>
    </row>
    <row r="237" ht="16.6" customHeight="1">
      <c r="A237" s="176"/>
      <c r="B237" s="178"/>
      <c r="C237" s="148"/>
      <c r="D237" s="160"/>
      <c r="E237" s="103"/>
    </row>
    <row r="238" ht="16.6" customHeight="1">
      <c r="A238" s="176"/>
      <c r="B238" s="178"/>
      <c r="C238" s="148"/>
      <c r="D238" s="160"/>
      <c r="E238" s="103"/>
    </row>
    <row r="239" ht="16.6" customHeight="1">
      <c r="A239" s="176"/>
      <c r="B239" s="178"/>
      <c r="C239" s="148"/>
      <c r="D239" s="160"/>
      <c r="E239" s="103"/>
    </row>
    <row r="240" ht="16.6" customHeight="1">
      <c r="A240" s="176"/>
      <c r="B240" s="178"/>
      <c r="C240" s="148"/>
      <c r="D240" s="160"/>
      <c r="E240" s="103"/>
    </row>
    <row r="241" ht="16.6" customHeight="1">
      <c r="A241" s="176"/>
      <c r="B241" s="178"/>
      <c r="C241" s="148"/>
      <c r="D241" s="160"/>
      <c r="E241" s="103"/>
    </row>
    <row r="242" ht="16.6" customHeight="1">
      <c r="A242" s="176"/>
      <c r="B242" s="178"/>
      <c r="C242" s="148"/>
      <c r="D242" s="160"/>
      <c r="E242" s="103"/>
    </row>
    <row r="243" ht="16.6" customHeight="1">
      <c r="A243" s="176"/>
      <c r="B243" s="178"/>
      <c r="C243" s="148"/>
      <c r="D243" s="160"/>
      <c r="E243" s="103"/>
    </row>
    <row r="244" ht="16.6" customHeight="1">
      <c r="A244" s="176"/>
      <c r="B244" s="178"/>
      <c r="C244" s="148"/>
      <c r="D244" s="160"/>
      <c r="E244" s="103"/>
    </row>
    <row r="245" ht="16.6" customHeight="1">
      <c r="A245" s="176"/>
      <c r="B245" s="178"/>
      <c r="C245" s="148"/>
      <c r="D245" s="160"/>
      <c r="E245" s="103"/>
    </row>
    <row r="246" ht="16.6" customHeight="1">
      <c r="A246" s="176"/>
      <c r="B246" s="178"/>
      <c r="C246" s="148"/>
      <c r="D246" s="160"/>
      <c r="E246" s="103"/>
    </row>
    <row r="247" ht="16.6" customHeight="1">
      <c r="A247" s="176"/>
      <c r="B247" s="178"/>
      <c r="C247" s="148"/>
      <c r="D247" s="160"/>
      <c r="E247" s="103"/>
    </row>
    <row r="248" ht="16.6" customHeight="1">
      <c r="A248" s="176"/>
      <c r="B248" s="178"/>
      <c r="C248" s="148"/>
      <c r="D248" s="160"/>
      <c r="E248" s="103"/>
    </row>
    <row r="249" ht="16.6" customHeight="1">
      <c r="A249" s="176"/>
      <c r="B249" s="178"/>
      <c r="C249" s="148"/>
      <c r="D249" s="160"/>
      <c r="E249" s="103"/>
    </row>
    <row r="250" ht="16.6" customHeight="1">
      <c r="A250" s="176"/>
      <c r="B250" s="178"/>
      <c r="C250" s="148"/>
      <c r="D250" s="160"/>
      <c r="E250" s="103"/>
    </row>
    <row r="251" ht="16.6" customHeight="1">
      <c r="A251" s="176"/>
      <c r="B251" s="178"/>
      <c r="C251" s="148"/>
      <c r="D251" s="160"/>
      <c r="E251" s="103"/>
    </row>
    <row r="252" ht="16.6" customHeight="1">
      <c r="A252" s="176"/>
      <c r="B252" s="178"/>
      <c r="C252" s="148"/>
      <c r="D252" s="160"/>
      <c r="E252" s="103"/>
    </row>
    <row r="253" ht="16.6" customHeight="1">
      <c r="A253" s="176"/>
      <c r="B253" s="178"/>
      <c r="C253" s="148"/>
      <c r="D253" s="160"/>
      <c r="E253" s="103"/>
    </row>
    <row r="254" ht="16.6" customHeight="1">
      <c r="A254" s="176"/>
      <c r="B254" s="178"/>
      <c r="C254" s="148"/>
      <c r="D254" s="160"/>
      <c r="E254" s="103"/>
    </row>
    <row r="255" ht="16.6" customHeight="1">
      <c r="A255" s="176"/>
      <c r="B255" s="178"/>
      <c r="C255" s="148"/>
      <c r="D255" s="160"/>
      <c r="E255" s="103"/>
    </row>
    <row r="256" ht="16.6" customHeight="1">
      <c r="A256" s="176"/>
      <c r="B256" s="178"/>
      <c r="C256" s="148"/>
      <c r="D256" s="160"/>
      <c r="E256" s="103"/>
    </row>
    <row r="257" ht="16.6" customHeight="1">
      <c r="A257" s="176"/>
      <c r="B257" s="178"/>
      <c r="C257" s="148"/>
      <c r="D257" s="160"/>
      <c r="E257" s="103"/>
    </row>
    <row r="258" ht="16.6" customHeight="1">
      <c r="A258" s="176"/>
      <c r="B258" s="178"/>
      <c r="C258" s="148"/>
      <c r="D258" s="160"/>
      <c r="E258" s="103"/>
    </row>
    <row r="259" ht="16.6" customHeight="1">
      <c r="A259" s="176"/>
      <c r="B259" s="178"/>
      <c r="C259" s="148"/>
      <c r="D259" s="160"/>
      <c r="E259" s="103"/>
    </row>
    <row r="260" ht="16.6" customHeight="1">
      <c r="A260" s="176"/>
      <c r="B260" s="178"/>
      <c r="C260" s="148"/>
      <c r="D260" s="160"/>
      <c r="E260" s="103"/>
    </row>
    <row r="261" ht="16.6" customHeight="1">
      <c r="A261" s="176"/>
      <c r="B261" s="178"/>
      <c r="C261" s="148"/>
      <c r="D261" s="160"/>
      <c r="E261" s="103"/>
    </row>
    <row r="262" ht="16.6" customHeight="1">
      <c r="A262" s="176"/>
      <c r="B262" s="178"/>
      <c r="C262" s="148"/>
      <c r="D262" s="160"/>
      <c r="E262" s="103"/>
    </row>
    <row r="263" ht="16.6" customHeight="1">
      <c r="A263" s="176"/>
      <c r="B263" s="178"/>
      <c r="C263" s="148"/>
      <c r="D263" s="160"/>
      <c r="E263" s="103"/>
    </row>
    <row r="264" ht="16.6" customHeight="1">
      <c r="A264" s="176"/>
      <c r="B264" s="178"/>
      <c r="C264" s="148"/>
      <c r="D264" s="160"/>
      <c r="E264" s="103"/>
    </row>
    <row r="265" ht="16.6" customHeight="1">
      <c r="A265" s="176"/>
      <c r="B265" s="178"/>
      <c r="C265" s="148"/>
      <c r="D265" s="160"/>
      <c r="E265" s="103"/>
    </row>
    <row r="266" ht="16.6" customHeight="1">
      <c r="A266" s="176"/>
      <c r="B266" s="178"/>
      <c r="C266" s="148"/>
      <c r="D266" s="160"/>
      <c r="E266" s="103"/>
    </row>
    <row r="267" ht="16.6" customHeight="1">
      <c r="A267" s="176"/>
      <c r="B267" s="178"/>
      <c r="C267" s="148"/>
      <c r="D267" s="160"/>
      <c r="E267" s="103"/>
    </row>
    <row r="268" ht="16.6" customHeight="1">
      <c r="A268" s="176"/>
      <c r="B268" s="178"/>
      <c r="C268" s="148"/>
      <c r="D268" s="160"/>
      <c r="E268" s="103"/>
    </row>
    <row r="269" ht="16.6" customHeight="1">
      <c r="A269" s="176"/>
      <c r="B269" s="178"/>
      <c r="C269" s="148"/>
      <c r="D269" s="160"/>
      <c r="E269" s="103"/>
    </row>
    <row r="270" ht="16.6" customHeight="1">
      <c r="A270" s="176"/>
      <c r="B270" s="178"/>
      <c r="C270" s="148"/>
      <c r="D270" s="160"/>
      <c r="E270" s="103"/>
    </row>
    <row r="271" ht="16.6" customHeight="1">
      <c r="A271" s="176"/>
      <c r="B271" s="178"/>
      <c r="C271" s="148"/>
      <c r="D271" s="160"/>
      <c r="E271" s="103"/>
    </row>
    <row r="272" ht="16.6" customHeight="1">
      <c r="A272" s="176"/>
      <c r="B272" s="178"/>
      <c r="C272" s="148"/>
      <c r="D272" s="160"/>
      <c r="E272" s="103"/>
    </row>
    <row r="273" ht="16.6" customHeight="1">
      <c r="A273" s="176"/>
      <c r="B273" s="178"/>
      <c r="C273" s="148"/>
      <c r="D273" s="160"/>
      <c r="E273" s="103"/>
    </row>
    <row r="274" ht="16.6" customHeight="1">
      <c r="A274" s="176"/>
      <c r="B274" s="178"/>
      <c r="C274" s="148"/>
      <c r="D274" s="160"/>
      <c r="E274" s="103"/>
    </row>
    <row r="275" ht="16.6" customHeight="1">
      <c r="A275" s="176"/>
      <c r="B275" s="178"/>
      <c r="C275" s="148"/>
      <c r="D275" s="160"/>
      <c r="E275" s="103"/>
    </row>
    <row r="276" ht="16.6" customHeight="1">
      <c r="A276" s="176"/>
      <c r="B276" s="178"/>
      <c r="C276" s="148"/>
      <c r="D276" s="160"/>
      <c r="E276" s="103"/>
    </row>
    <row r="277" ht="16.6" customHeight="1">
      <c r="A277" s="176"/>
      <c r="B277" s="178"/>
      <c r="C277" s="148"/>
      <c r="D277" s="160"/>
      <c r="E277" s="103"/>
    </row>
    <row r="278" ht="16.6" customHeight="1">
      <c r="A278" s="176"/>
      <c r="B278" s="178"/>
      <c r="C278" s="148"/>
      <c r="D278" s="160"/>
      <c r="E278" s="103"/>
    </row>
    <row r="279" ht="16.6" customHeight="1">
      <c r="A279" s="176"/>
      <c r="B279" s="178"/>
      <c r="C279" s="148"/>
      <c r="D279" s="160"/>
      <c r="E279" s="103"/>
    </row>
    <row r="280" ht="16.6" customHeight="1">
      <c r="A280" s="176"/>
      <c r="B280" s="178"/>
      <c r="C280" s="148"/>
      <c r="D280" s="160"/>
      <c r="E280" s="103"/>
    </row>
    <row r="281" ht="16.6" customHeight="1">
      <c r="A281" s="176"/>
      <c r="B281" s="178"/>
      <c r="C281" s="148"/>
      <c r="D281" s="160"/>
      <c r="E281" s="103"/>
    </row>
    <row r="282" ht="16.6" customHeight="1">
      <c r="A282" s="176"/>
      <c r="B282" s="178"/>
      <c r="C282" s="148"/>
      <c r="D282" s="160"/>
      <c r="E282" s="103"/>
    </row>
    <row r="283" ht="16.6" customHeight="1">
      <c r="A283" s="176"/>
      <c r="B283" s="178"/>
      <c r="C283" s="148"/>
      <c r="D283" s="160"/>
      <c r="E283" s="103"/>
    </row>
    <row r="284" ht="16.6" customHeight="1">
      <c r="A284" s="176"/>
      <c r="B284" s="178"/>
      <c r="C284" s="148"/>
      <c r="D284" s="160"/>
      <c r="E284" s="103"/>
    </row>
    <row r="285" ht="16.6" customHeight="1">
      <c r="A285" s="176"/>
      <c r="B285" s="178"/>
      <c r="C285" s="148"/>
      <c r="D285" s="160"/>
      <c r="E285" s="103"/>
    </row>
    <row r="286" ht="16.6" customHeight="1">
      <c r="A286" s="176"/>
      <c r="B286" s="178"/>
      <c r="C286" s="148"/>
      <c r="D286" s="160"/>
      <c r="E286" s="103"/>
    </row>
    <row r="287" ht="16.6" customHeight="1">
      <c r="A287" s="176"/>
      <c r="B287" s="178"/>
      <c r="C287" s="148"/>
      <c r="D287" s="160"/>
      <c r="E287" s="103"/>
    </row>
    <row r="288" ht="16.6" customHeight="1">
      <c r="A288" s="176"/>
      <c r="B288" s="178"/>
      <c r="C288" s="148"/>
      <c r="D288" s="160"/>
      <c r="E288" s="103"/>
    </row>
    <row r="289" ht="16.6" customHeight="1">
      <c r="A289" s="176"/>
      <c r="B289" s="178"/>
      <c r="C289" s="148"/>
      <c r="D289" s="160"/>
      <c r="E289" s="103"/>
    </row>
    <row r="290" ht="16.6" customHeight="1">
      <c r="A290" s="176"/>
      <c r="B290" s="178"/>
      <c r="C290" s="148"/>
      <c r="D290" s="160"/>
      <c r="E290" s="103"/>
    </row>
    <row r="291" ht="16.6" customHeight="1">
      <c r="A291" s="176"/>
      <c r="B291" s="178"/>
      <c r="C291" s="148"/>
      <c r="D291" s="160"/>
      <c r="E291" s="103"/>
    </row>
    <row r="292" ht="16.6" customHeight="1">
      <c r="A292" s="176"/>
      <c r="B292" s="178"/>
      <c r="C292" s="148"/>
      <c r="D292" s="160"/>
      <c r="E292" s="103"/>
    </row>
    <row r="293" ht="16.6" customHeight="1">
      <c r="A293" s="176"/>
      <c r="B293" s="178"/>
      <c r="C293" s="148"/>
      <c r="D293" s="160"/>
      <c r="E293" s="103"/>
    </row>
    <row r="294" ht="16.6" customHeight="1">
      <c r="A294" s="176"/>
      <c r="B294" s="178"/>
      <c r="C294" s="148"/>
      <c r="D294" s="160"/>
      <c r="E294" s="103"/>
    </row>
    <row r="295" ht="16.6" customHeight="1">
      <c r="A295" s="176"/>
      <c r="B295" s="178"/>
      <c r="C295" s="148"/>
      <c r="D295" s="160"/>
      <c r="E295" s="103"/>
    </row>
    <row r="296" ht="16.6" customHeight="1">
      <c r="A296" s="176"/>
      <c r="B296" s="178"/>
      <c r="C296" s="148"/>
      <c r="D296" s="160"/>
      <c r="E296" s="103"/>
    </row>
    <row r="297" ht="16.6" customHeight="1">
      <c r="A297" s="176"/>
      <c r="B297" s="178"/>
      <c r="C297" s="148"/>
      <c r="D297" s="160"/>
      <c r="E297" s="103"/>
    </row>
    <row r="298" ht="16.6" customHeight="1">
      <c r="A298" s="176"/>
      <c r="B298" s="178"/>
      <c r="C298" s="148"/>
      <c r="D298" s="160"/>
      <c r="E298" s="103"/>
    </row>
    <row r="299" ht="16.6" customHeight="1">
      <c r="A299" s="176"/>
      <c r="B299" s="178"/>
      <c r="C299" s="148"/>
      <c r="D299" s="160"/>
      <c r="E299" s="103"/>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